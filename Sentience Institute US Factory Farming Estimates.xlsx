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Factory Farming Estimates" sheetId="1" r:id="rId3"/>
    <sheet state="visible" name="Cutoff Calculations" sheetId="2" r:id="rId4"/>
    <sheet state="visible" name="Fish Estimates" sheetId="3" r:id="rId5"/>
  </sheets>
  <definedNames/>
  <calcPr/>
</workbook>
</file>

<file path=xl/comments1.xml><?xml version="1.0" encoding="utf-8"?>
<comments xmlns:r="http://schemas.openxmlformats.org/officeDocument/2006/relationships" xmlns="http://schemas.openxmlformats.org/spreadsheetml/2006/main">
  <authors>
    <author/>
  </authors>
  <commentList>
    <comment authorId="0" ref="C16">
      <text>
        <t xml:space="preserve">Was this the total number of chickens raised and slaughtered in 2017?
	-Mian Osumi
Thanks for your question. "Raised" might not quite be true because some chickens are raised in December 2016 (and slaughtered in 2017) or in December 2017 (and slaughtered in 2018).
It is also "sales," which would not include dead chickens who are slaughtered but not sold (e.g. many "spent" egg-laying hens).
But the figures are probably relatively close.
	-Jacy Reese Anthis
Oh my god you're THE Jacy Reese! I loved your book--and thank you for answering my question!
	-Mian Osumi</t>
      </text>
    </comment>
  </commentList>
</comments>
</file>

<file path=xl/comments2.xml><?xml version="1.0" encoding="utf-8"?>
<comments xmlns:r="http://schemas.openxmlformats.org/officeDocument/2006/relationships" xmlns="http://schemas.openxmlformats.org/spreadsheetml/2006/main">
  <authors>
    <author/>
  </authors>
  <commentList>
    <comment authorId="0" ref="B4">
      <text>
        <t xml:space="preserve">sorry might not be understanding this how did you calculate the cut off to 0.25?
	-Jess Mukiri
Hi Jess, thanks for your question. This is just our estimate of the percentage of "small" CAFOs that would not be considered factory farms. It's tricky because the EPA defines a small CAFO broadly as requiring "has been designated as a CAFO by the permitting authority as a significant contributor of pollutants" so if we want to apply this definition, we have to estimate something like the percentage of farms designated or that would be designated if investigated.
	-Jacy Reese Anthis
ooh thanks for the quick response. Makes sense. Also by any chance as the same process been replicated for Canada?
	-Jess Mukiri
No problem. Unfortunately I don't know of any other country that has farm size data to make such an analysis possible, but I haven't looked very hard. Please let me know if you do, @jacy@sentienceinstitute.org
	-Jacy Reese Anthis</t>
      </text>
    </comment>
  </commentList>
</comments>
</file>

<file path=xl/sharedStrings.xml><?xml version="1.0" encoding="utf-8"?>
<sst xmlns="http://schemas.openxmlformats.org/spreadsheetml/2006/main" count="252" uniqueCount="177">
  <si>
    <t>US Factory Farming Estimates (Animals Alive at Present)</t>
  </si>
  <si>
    <t>These estimates use the 2017 Census of Agriculture and EPA definitions of CAFOs to estimate the number of US farmed land vertebrates who are in CAFOs ("factory farms").</t>
  </si>
  <si>
    <t>Last updated: 04/11/2019</t>
  </si>
  <si>
    <t>USDA Data</t>
  </si>
  <si>
    <t>Percentile calculations</t>
  </si>
  <si>
    <t>Total % factory farmed</t>
  </si>
  <si>
    <t>Sales, Table 30</t>
  </si>
  <si>
    <t>Meat chickens</t>
  </si>
  <si>
    <t>Cutoff ('Cutoff Calculations')</t>
  </si>
  <si>
    <t>Meat chicken calculations</t>
  </si>
  <si>
    <t>These estimates use the number of animals per farm as the best available proxy for whether the farm is a CAFO with the following premises: (1) All Large sized farms are CAFOs, (2) all Medium sized farms are CAFOs, and (3) for birds, the largest three quarters of Small sized farms are CAFOs, (4) for mammals, the largest half of Small sized farms are CAFOs, and (5) farms are evenly distributed among sizes within each range.</t>
  </si>
  <si>
    <t>Animals per farm</t>
  </si>
  <si>
    <t>Total farms</t>
  </si>
  <si>
    <t>Total animals</t>
  </si>
  <si>
    <t>Cumulative</t>
  </si>
  <si>
    <t>Cumulative %</t>
  </si>
  <si>
    <t>Farms larger than cutoff range</t>
  </si>
  <si>
    <t>1 to 1999</t>
  </si>
  <si>
    <t>Farms larger than and including cutoff range</t>
  </si>
  <si>
    <t>2000 to 15999</t>
  </si>
  <si>
    <t>Percentile of cutoff in farm size range</t>
  </si>
  <si>
    <t>16000 to 29999</t>
  </si>
  <si>
    <t>% of animals above cutoff</t>
  </si>
  <si>
    <t>30000 to 59999</t>
  </si>
  <si>
    <t>60000 to 99999</t>
  </si>
  <si>
    <t>Best Guess</t>
  </si>
  <si>
    <t>100000 to 199999</t>
  </si>
  <si>
    <t>200000 to 299999</t>
  </si>
  <si>
    <t>Egg chickens</t>
  </si>
  <si>
    <t>300000 to 499999</t>
  </si>
  <si>
    <t>Turkeys</t>
  </si>
  <si>
    <t>500000 or more</t>
  </si>
  <si>
    <t>Pigs</t>
  </si>
  <si>
    <t>Total sales</t>
  </si>
  <si>
    <t>Cows</t>
  </si>
  <si>
    <t>Total inventory</t>
  </si>
  <si>
    <t>Total land</t>
  </si>
  <si>
    <t>Total land + fish</t>
  </si>
  <si>
    <t>Inventory, Table 30</t>
  </si>
  <si>
    <t>Egg-laying hens</t>
  </si>
  <si>
    <t>Egg-laying hen calculations</t>
  </si>
  <si>
    <t>Fish Estimates</t>
  </si>
  <si>
    <t>1 to 49</t>
  </si>
  <si>
    <t>We lack US census data for fish farm size, but consensus in the field seems to be that virtually all fish farms are factory farms in terms of confinement, disease, and other relevant metrics.</t>
  </si>
  <si>
    <t>50 to 99</t>
  </si>
  <si>
    <t>100 to 399</t>
  </si>
  <si>
    <t>400 to 3199</t>
  </si>
  <si>
    <t>US fish (see sheet "Fish Estimates"):</t>
  </si>
  <si>
    <t>3200 to 9999</t>
  </si>
  <si>
    <t>10000 to 19999</t>
  </si>
  <si>
    <t>Confirmatory Calculation</t>
  </si>
  <si>
    <t>20000 to 49999</t>
  </si>
  <si>
    <t>% total farms accounted for:</t>
  </si>
  <si>
    <t>50000 to 99999</t>
  </si>
  <si>
    <t>100000 or more</t>
  </si>
  <si>
    <t>This only weakly confirms our choice of cutoffs, which assume all farms above a certain size (per species) are CAFOs, while in reality some non-CAFO farms will be larger than some CAFO farms.</t>
  </si>
  <si>
    <t>Turkey calculations</t>
  </si>
  <si>
    <t>Citations</t>
  </si>
  <si>
    <t>2000 to 7999</t>
  </si>
  <si>
    <t>8000 to 15999</t>
  </si>
  <si>
    <t>Notes</t>
  </si>
  <si>
    <t>This is a rough estimate based on the data we have available. We could not find any data on % of Small and Medium sized farms that meet the EPA criteria for CAFOs, so we took our best guess and hope to update it with hard evidence in the future.</t>
  </si>
  <si>
    <t>Note that a CAFO as defined by the EPA and what the public would regard as a "factory farm" are not necessarily the same. For instance, a farm with 37,500 chickens or 3,000 pigs is only considered a CAFO if it meets certain conditions regarding surface water pollution, but farms of these sizes that don't meet these conditions could still house animals in ways that would be publicly regarded as crowded "factory" conditions.</t>
  </si>
  <si>
    <t>Inventory, Table 21</t>
  </si>
  <si>
    <t>Pig calculations</t>
  </si>
  <si>
    <t>1 to 24</t>
  </si>
  <si>
    <t>25 to 49</t>
  </si>
  <si>
    <t>There will be another Census of Agriculture for 2017, which will likely be published in the spring of 2019. We will update these estimates when it is available, and may add more nuance to our methodology at that time.</t>
  </si>
  <si>
    <t>100 to 199</t>
  </si>
  <si>
    <t>200 to 499</t>
  </si>
  <si>
    <t>Sales figures are used for meat chicken animals per farm because the 2012 Census lacks meat chicken inventory by farm size. We still use the total inventory figure in the estimate of total % factory farmed.</t>
  </si>
  <si>
    <t>500 to 999</t>
  </si>
  <si>
    <t>1000 to 1999</t>
  </si>
  <si>
    <t>2000 to 4999</t>
  </si>
  <si>
    <t>All pigs are assumed to be over 55 pounds, for the purpose of using the EPA definitions of CAFOs.</t>
  </si>
  <si>
    <t>5000 or more</t>
  </si>
  <si>
    <t>Fish refers to finfish, not finfish and shellfish.</t>
  </si>
  <si>
    <t>Cutoff ('Cutoff Calculations') (beef/veal)</t>
  </si>
  <si>
    <t>Cutoff ('Cutoff Calculations') (dairy)</t>
  </si>
  <si>
    <t>Inventory, Table 14</t>
  </si>
  <si>
    <t>Cutoff (average)</t>
  </si>
  <si>
    <t>Cow calculations</t>
  </si>
  <si>
    <t>1 to 9</t>
  </si>
  <si>
    <t>10 to 19</t>
  </si>
  <si>
    <t>20 to 49</t>
  </si>
  <si>
    <t>1000 to 2499</t>
  </si>
  <si>
    <t>2500 to 4999</t>
  </si>
  <si>
    <t>Cutoff for mammals</t>
  </si>
  <si>
    <t>Cutoff for birds</t>
  </si>
  <si>
    <t>Beef/veal cows</t>
  </si>
  <si>
    <t>Dairy cows</t>
  </si>
  <si>
    <t>Egg-Laying Hens</t>
  </si>
  <si>
    <t>Meat Chickens</t>
  </si>
  <si>
    <t>Small-Medium</t>
  </si>
  <si>
    <t>Medium-Large</t>
  </si>
  <si>
    <t>Type</t>
  </si>
  <si>
    <t>Mammal</t>
  </si>
  <si>
    <t>Bird</t>
  </si>
  <si>
    <t>Cutoff</t>
  </si>
  <si>
    <t>Species</t>
  </si>
  <si>
    <t>Production (t)</t>
  </si>
  <si>
    <t>Estimated 
mean 
weight 
(EMW)
(g)</t>
  </si>
  <si>
    <t>EMWid</t>
  </si>
  <si>
    <t>Generic 
Mean 
Weight
(g)</t>
  </si>
  <si>
    <t>Estimated 
Numbers
(millions)</t>
  </si>
  <si>
    <t>Channel catfish</t>
  </si>
  <si>
    <t>340-680</t>
  </si>
  <si>
    <t>212 - 424</t>
  </si>
  <si>
    <t>Rainbow trout</t>
  </si>
  <si>
    <t>210-5,000</t>
  </si>
  <si>
    <t>4 - 99</t>
  </si>
  <si>
    <t>Atlantic salmon</t>
  </si>
  <si>
    <t>3,614-8,434</t>
  </si>
  <si>
    <t>2 - 5</t>
  </si>
  <si>
    <t>Tilapias nei</t>
  </si>
  <si>
    <t>250-800</t>
  </si>
  <si>
    <t>11 - 34</t>
  </si>
  <si>
    <t>Striped bass, hybrid</t>
  </si>
  <si>
    <t>Red drum</t>
  </si>
  <si>
    <t>Sturgeons nei</t>
  </si>
  <si>
    <t>322-1,081</t>
  </si>
  <si>
    <t>1 - 3</t>
  </si>
  <si>
    <t>Freshwater fishes nei</t>
  </si>
  <si>
    <t>1 - 2</t>
  </si>
  <si>
    <t>Marine fishes nei</t>
  </si>
  <si>
    <t>Cyprinids nei</t>
  </si>
  <si>
    <t>&lt;1 - 1</t>
  </si>
  <si>
    <t>Longfin yellowtail</t>
  </si>
  <si>
    <t>Barramundi(=Giant seaperch)</t>
  </si>
  <si>
    <t>300-2,000</t>
  </si>
  <si>
    <t>American yellow perch</t>
  </si>
  <si>
    <t>&lt;1</t>
  </si>
  <si>
    <t>Totals by estimate type:</t>
  </si>
  <si>
    <t>Estimated Numbers
(millions)</t>
  </si>
  <si>
    <t>Single species with an EMW</t>
  </si>
  <si>
    <t>225 - 536</t>
  </si>
  <si>
    <t>Multi species with an EMW</t>
  </si>
  <si>
    <t>Totals for species with an EMW</t>
  </si>
  <si>
    <t>236 - 570</t>
  </si>
  <si>
    <t>Totals for species without EMW</t>
  </si>
  <si>
    <t>3 - 10</t>
  </si>
  <si>
    <t>Total fish production</t>
  </si>
  <si>
    <t>238 - 580</t>
  </si>
  <si>
    <t>out of total aquaculture production</t>
  </si>
  <si>
    <t>Total farmed fish consumed anually per capita, minimum</t>
  </si>
  <si>
    <t>Total farmed fish consumed anually per capita, average</t>
  </si>
  <si>
    <t>Total farmed fish consumed anually per capita, maximum</t>
  </si>
  <si>
    <t>Average lifespan in months, minimum</t>
  </si>
  <si>
    <t>Average lifespan in months, average</t>
  </si>
  <si>
    <t>Average lifespan in months, maximum</t>
  </si>
  <si>
    <t>Farmed fish years required annually per capita (slaughtered fish), minimum</t>
  </si>
  <si>
    <t>Farmed fish years required annually per capita (slaughtered fish), average</t>
  </si>
  <si>
    <t>Farmed fish years required annually per capita (slaughtered fish), maximum</t>
  </si>
  <si>
    <t>Farmed fish years required annually per capita (total), minimum</t>
  </si>
  <si>
    <t>Farmed fish years required annually per capita (total), average</t>
  </si>
  <si>
    <t>Farmed fish years required annually per capita (total), maximum</t>
  </si>
  <si>
    <t>Salmon 1st Page Load</t>
  </si>
  <si>
    <t>Salmon 2nd Page Load</t>
  </si>
  <si>
    <t>Salmon 3rd Page Load</t>
  </si>
  <si>
    <t>Tilapia 1st Page Load</t>
  </si>
  <si>
    <t>Tilapia 2nd Page Load</t>
  </si>
  <si>
    <t>Tilapia 3rd Page Load</t>
  </si>
  <si>
    <t>Pangasius 1st Page Load</t>
  </si>
  <si>
    <t>Pangasius 2nd Page Load</t>
  </si>
  <si>
    <t>Pangasius 3rd Page Load</t>
  </si>
  <si>
    <t>Catfish 1st Page Load</t>
  </si>
  <si>
    <t>Catfish 2nd Page Load</t>
  </si>
  <si>
    <t>Catfish 3rd Page Load</t>
  </si>
  <si>
    <t>Salmon avg</t>
  </si>
  <si>
    <t>Tilapia avg</t>
  </si>
  <si>
    <t>Pangasius avg</t>
  </si>
  <si>
    <t>Catfish avg</t>
  </si>
  <si>
    <t>The formula used below to estimate current populations is as follows, averaging species lifespans and mortalities (not weighting by species production):</t>
  </si>
  <si>
    <t>US produced in millions * 1000000 * (lifespan in months / months in year) * (years required for both slaughtered and dead before slaughter/years required for slaughtered)</t>
  </si>
  <si>
    <t>Min</t>
  </si>
  <si>
    <t>Midpoint</t>
  </si>
  <si>
    <t>Max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</si>
</sst>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
  </numFmts>
  <fonts count="17">
    <font>
      <sz val="10.0"/>
      <color rgb="FF000000"/>
      <name val="Arial"/>
    </font>
    <font>
      <b/>
      <sz val="14.0"/>
      <name val="Arial"/>
    </font>
    <font>
      <b/>
      <name val="Arial"/>
    </font>
    <font>
      <i/>
      <name val="Arial"/>
    </font>
    <font>
      <name val="Arial"/>
    </font>
    <font>
      <color rgb="FF000000"/>
      <name val="Arial"/>
    </font>
    <font/>
    <font>
      <u/>
      <color rgb="FF1155CC"/>
      <name val="Arial"/>
    </font>
    <font>
      <u/>
      <color rgb="FF1155CC"/>
      <name val="Arial"/>
    </font>
    <font>
      <u/>
      <color rgb="FF1155CC"/>
      <name val="Arial"/>
    </font>
    <font>
      <b/>
      <u/>
      <color rgb="FF1155CC"/>
      <name val="Arial"/>
    </font>
    <font>
      <u/>
      <color rgb="FF0000FF"/>
      <name val="Arial"/>
    </font>
    <font>
      <color rgb="FF111111"/>
      <name val="&quot;Lucida Sans Unicode&quot;"/>
    </font>
    <font>
      <u/>
      <color rgb="FF111111"/>
      <name val="&quot;Lucida Sans Unicode&quot;"/>
    </font>
    <font>
      <b/>
      <color rgb="FF111111"/>
      <name val="&quot;Lucida Sans Unicode&quot;"/>
    </font>
    <font>
      <u/>
      <color rgb="FF0000FF"/>
      <name val="Arial"/>
    </font>
    <font>
      <b/>
    </font>
  </fonts>
  <fills count="7">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6D9EEB"/>
        <bgColor rgb="FF6D9EEB"/>
      </patternFill>
    </fill>
    <fill>
      <patternFill patternType="solid">
        <fgColor rgb="FFFFFFFF"/>
        <bgColor rgb="FFFFFFFF"/>
      </patternFill>
    </fill>
    <fill>
      <patternFill patternType="solid">
        <fgColor rgb="FFF3F3F3"/>
        <bgColor rgb="FFF3F3F3"/>
      </patternFill>
    </fill>
  </fills>
  <borders count="2">
    <border/>
    <border>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2" numFmtId="0" xfId="0" applyAlignment="1" applyFill="1" applyFont="1">
      <alignment shrinkToFit="0" vertical="bottom" wrapText="1"/>
    </xf>
    <xf borderId="0" fillId="0" fontId="3" numFmtId="0" xfId="0" applyAlignment="1" applyFont="1">
      <alignment readingOrder="0" shrinkToFit="0" vertical="bottom" wrapText="1"/>
    </xf>
    <xf borderId="0" fillId="2" fontId="2" numFmtId="0" xfId="0" applyAlignment="1" applyFont="1">
      <alignment shrinkToFit="0" vertical="bottom" wrapText="1"/>
    </xf>
    <xf borderId="0" fillId="0" fontId="4" numFmtId="0" xfId="0" applyAlignment="1" applyFont="1">
      <alignment vertical="bottom"/>
    </xf>
    <xf borderId="0" fillId="0" fontId="2" numFmtId="0" xfId="0" applyAlignment="1" applyFont="1">
      <alignment horizontal="right" vertical="bottom"/>
    </xf>
    <xf borderId="0" fillId="0" fontId="4" numFmtId="3" xfId="0" applyAlignment="1" applyFont="1" applyNumberFormat="1">
      <alignment horizontal="right" vertical="bottom"/>
    </xf>
    <xf borderId="1" fillId="0" fontId="2" numFmtId="0" xfId="0" applyAlignment="1" applyBorder="1" applyFont="1">
      <alignment vertical="top"/>
    </xf>
    <xf borderId="0" fillId="0" fontId="4" numFmtId="164" xfId="0" applyAlignment="1" applyFont="1" applyNumberFormat="1">
      <alignment vertical="bottom"/>
    </xf>
    <xf borderId="0" fillId="0" fontId="4" numFmtId="0" xfId="0" applyAlignment="1" applyFont="1">
      <alignment shrinkToFit="0" vertical="top" wrapText="1"/>
    </xf>
    <xf borderId="0" fillId="0" fontId="5" numFmtId="3" xfId="0" applyAlignment="1" applyFont="1" applyNumberFormat="1">
      <alignment horizontal="right" vertical="bottom"/>
    </xf>
    <xf borderId="0" fillId="0" fontId="4" numFmtId="0" xfId="0" applyAlignment="1" applyFont="1">
      <alignment vertical="top"/>
    </xf>
    <xf borderId="0" fillId="0" fontId="4" numFmtId="164" xfId="0" applyAlignment="1" applyFont="1" applyNumberFormat="1">
      <alignment horizontal="right" vertical="bottom"/>
    </xf>
    <xf borderId="0" fillId="0" fontId="4" numFmtId="164" xfId="0" applyAlignment="1" applyFont="1" applyNumberFormat="1">
      <alignment horizontal="right" vertical="top"/>
    </xf>
    <xf borderId="0" fillId="3" fontId="2" numFmtId="0" xfId="0" applyAlignment="1" applyFill="1" applyFont="1">
      <alignment horizontal="right" vertical="bottom"/>
    </xf>
    <xf borderId="0" fillId="3" fontId="2" numFmtId="4" xfId="0" applyAlignment="1" applyFont="1" applyNumberFormat="1">
      <alignment vertical="bottom"/>
    </xf>
    <xf borderId="0" fillId="3" fontId="2" numFmtId="164" xfId="0" applyAlignment="1" applyFont="1" applyNumberFormat="1">
      <alignment horizontal="right" vertical="bottom"/>
    </xf>
    <xf borderId="0" fillId="0" fontId="4" numFmtId="4" xfId="0" applyAlignment="1" applyFont="1" applyNumberFormat="1">
      <alignment vertical="bottom"/>
    </xf>
    <xf borderId="0" fillId="0" fontId="2" numFmtId="3" xfId="0" applyAlignment="1" applyFont="1" applyNumberFormat="1">
      <alignment horizontal="right" vertical="bottom"/>
    </xf>
    <xf borderId="0" fillId="0" fontId="4" numFmtId="4" xfId="0" applyAlignment="1" applyFont="1" applyNumberFormat="1">
      <alignment vertical="top"/>
    </xf>
    <xf borderId="0" fillId="4" fontId="2" numFmtId="4" xfId="0" applyAlignment="1" applyFill="1" applyFont="1" applyNumberFormat="1">
      <alignment vertical="bottom"/>
    </xf>
    <xf borderId="0" fillId="4" fontId="2" numFmtId="164" xfId="0" applyAlignment="1" applyFont="1" applyNumberFormat="1">
      <alignment horizontal="right" vertical="bottom"/>
    </xf>
    <xf borderId="0" fillId="0" fontId="4" numFmtId="3" xfId="0" applyAlignment="1" applyFont="1" applyNumberFormat="1">
      <alignment vertical="bottom"/>
    </xf>
    <xf borderId="0" fillId="0" fontId="4" numFmtId="164" xfId="0" applyAlignment="1" applyFont="1" applyNumberFormat="1">
      <alignment vertical="top"/>
    </xf>
    <xf borderId="1" fillId="0" fontId="2" numFmtId="4" xfId="0" applyAlignment="1" applyBorder="1" applyFont="1" applyNumberFormat="1">
      <alignment vertical="top"/>
    </xf>
    <xf borderId="0" fillId="0" fontId="4" numFmtId="0" xfId="0" applyAlignment="1" applyFont="1">
      <alignment vertical="bottom"/>
    </xf>
    <xf borderId="0" fillId="0" fontId="2" numFmtId="0" xfId="0" applyAlignment="1" applyFont="1">
      <alignment shrinkToFit="0" vertical="bottom" wrapText="1"/>
    </xf>
    <xf borderId="1" fillId="0" fontId="6" numFmtId="0" xfId="0" applyBorder="1" applyFont="1"/>
    <xf borderId="0" fillId="5" fontId="5" numFmtId="4" xfId="0" applyAlignment="1" applyFill="1" applyFont="1" applyNumberFormat="1">
      <alignment shrinkToFit="0" wrapText="1"/>
    </xf>
    <xf borderId="0" fillId="0" fontId="4" numFmtId="0" xfId="0" applyAlignment="1" applyFont="1">
      <alignment vertical="top"/>
    </xf>
    <xf borderId="0" fillId="0" fontId="4" numFmtId="10" xfId="0" applyAlignment="1" applyFont="1" applyNumberFormat="1">
      <alignment shrinkToFit="0" vertical="bottom" wrapText="1"/>
    </xf>
    <xf borderId="1" fillId="0" fontId="4" numFmtId="0" xfId="0" applyAlignment="1" applyBorder="1" applyFont="1">
      <alignment vertical="bottom"/>
    </xf>
    <xf borderId="0" fillId="0" fontId="4" numFmtId="10" xfId="0" applyAlignment="1" applyFont="1" applyNumberFormat="1">
      <alignment horizontal="right" vertical="bottom"/>
    </xf>
    <xf borderId="0" fillId="0" fontId="4" numFmtId="4" xfId="0" applyAlignment="1" applyFont="1" applyNumberFormat="1">
      <alignment horizontal="right" vertical="bottom"/>
    </xf>
    <xf borderId="1" fillId="0" fontId="7" numFmtId="0" xfId="0" applyAlignment="1" applyBorder="1" applyFont="1">
      <alignment shrinkToFit="0" vertical="bottom" wrapText="0"/>
    </xf>
    <xf borderId="1" fillId="0" fontId="4" numFmtId="0" xfId="0" applyAlignment="1" applyBorder="1" applyFont="1">
      <alignment vertical="bottom"/>
    </xf>
    <xf borderId="0" fillId="0" fontId="4" numFmtId="0" xfId="0" applyAlignment="1" applyFont="1">
      <alignment shrinkToFit="0" wrapText="1"/>
    </xf>
    <xf borderId="1" fillId="0" fontId="2" numFmtId="0" xfId="0" applyAlignment="1" applyBorder="1" applyFont="1">
      <alignment vertical="top"/>
    </xf>
    <xf borderId="0" fillId="0" fontId="8" numFmtId="0" xfId="0" applyAlignment="1" applyFont="1">
      <alignment readingOrder="0" shrinkToFit="0" vertical="bottom" wrapText="0"/>
    </xf>
    <xf borderId="0" fillId="0" fontId="9" numFmtId="0" xfId="0" applyAlignment="1" applyFont="1">
      <alignment vertical="bottom"/>
    </xf>
    <xf borderId="0" fillId="0" fontId="4" numFmtId="3" xfId="0" applyAlignment="1" applyFont="1" applyNumberFormat="1">
      <alignment vertical="top"/>
    </xf>
    <xf borderId="0" fillId="0" fontId="4" numFmtId="0" xfId="0" applyAlignment="1" applyFont="1">
      <alignment shrinkToFit="0" wrapText="1"/>
    </xf>
    <xf borderId="0" fillId="0" fontId="4" numFmtId="0" xfId="0" applyAlignment="1" applyFont="1">
      <alignment shrinkToFit="0" vertical="bottom" wrapText="1"/>
    </xf>
    <xf borderId="1" fillId="0" fontId="4" numFmtId="4" xfId="0" applyAlignment="1" applyBorder="1" applyFont="1" applyNumberFormat="1">
      <alignment vertical="bottom"/>
    </xf>
    <xf borderId="0" fillId="0" fontId="4" numFmtId="0" xfId="0" applyAlignment="1" applyFont="1">
      <alignment horizontal="right" vertical="bottom"/>
    </xf>
    <xf borderId="1" fillId="0" fontId="10" numFmtId="0" xfId="0" applyAlignment="1" applyBorder="1" applyFont="1">
      <alignment shrinkToFit="0" vertical="bottom" wrapText="0"/>
    </xf>
    <xf borderId="0" fillId="0" fontId="4" numFmtId="0" xfId="0" applyAlignment="1" applyFont="1">
      <alignment horizontal="right" vertical="bottom"/>
    </xf>
    <xf borderId="0" fillId="0" fontId="11" numFmtId="0" xfId="0" applyAlignment="1" applyFont="1">
      <alignment readingOrder="0" shrinkToFit="0" vertical="bottom" wrapText="1"/>
    </xf>
    <xf borderId="0" fillId="6" fontId="12" numFmtId="0" xfId="0" applyAlignment="1" applyFill="1" applyFont="1">
      <alignment horizontal="left" readingOrder="0" shrinkToFit="0" vertical="top" wrapText="1"/>
    </xf>
    <xf borderId="0" fillId="6" fontId="6" numFmtId="0" xfId="0" applyAlignment="1" applyFont="1">
      <alignment shrinkToFit="0" wrapText="1"/>
    </xf>
    <xf borderId="0" fillId="6" fontId="13" numFmtId="0" xfId="0" applyAlignment="1" applyFont="1">
      <alignment horizontal="left" readingOrder="0" shrinkToFit="0" vertical="top" wrapText="1"/>
    </xf>
    <xf borderId="0" fillId="6" fontId="12" numFmtId="3" xfId="0" applyAlignment="1" applyFont="1" applyNumberFormat="1">
      <alignment horizontal="left" readingOrder="0" shrinkToFit="0" vertical="top" wrapText="1"/>
    </xf>
    <xf borderId="0" fillId="6" fontId="12" numFmtId="0" xfId="0" applyAlignment="1" applyFont="1">
      <alignment horizontal="left" shrinkToFit="0" vertical="top" wrapText="1"/>
    </xf>
    <xf borderId="0" fillId="6" fontId="14" numFmtId="0" xfId="0" applyAlignment="1" applyFont="1">
      <alignment horizontal="left" readingOrder="0" shrinkToFit="0" vertical="top" wrapText="1"/>
    </xf>
    <xf borderId="0" fillId="0" fontId="15" numFmtId="0" xfId="0" applyAlignment="1" applyFont="1">
      <alignment shrinkToFit="0" vertical="bottom" wrapText="1"/>
    </xf>
    <xf borderId="0" fillId="6" fontId="4" numFmtId="0" xfId="0" applyAlignment="1" applyFont="1">
      <alignment vertical="bottom"/>
    </xf>
    <xf borderId="0" fillId="6" fontId="4" numFmtId="0" xfId="0" applyAlignment="1" applyFont="1">
      <alignment shrinkToFit="0" vertical="bottom" wrapText="1"/>
    </xf>
    <xf borderId="0" fillId="6" fontId="4" numFmtId="0" xfId="0" applyAlignment="1" applyFont="1">
      <alignment horizontal="right" vertical="bottom"/>
    </xf>
    <xf borderId="0" fillId="6" fontId="4" numFmtId="4" xfId="0" applyAlignment="1" applyFont="1" applyNumberFormat="1">
      <alignment horizontal="right" vertical="bottom"/>
    </xf>
    <xf borderId="0" fillId="5" fontId="5" numFmtId="0" xfId="0" applyAlignment="1" applyFont="1">
      <alignment horizontal="left" readingOrder="0"/>
    </xf>
    <xf borderId="0" fillId="0" fontId="6" numFmtId="0" xfId="0" applyAlignment="1" applyFont="1">
      <alignment readingOrder="0"/>
    </xf>
    <xf borderId="0" fillId="0" fontId="16" numFmtId="0" xfId="0" applyAlignment="1" applyFont="1">
      <alignment readingOrder="0"/>
    </xf>
    <xf borderId="0" fillId="0" fontId="16"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0" Type="http://schemas.openxmlformats.org/officeDocument/2006/relationships/hyperlink" Target="http://fishcount.org.uk/studydatascreens2/2015/numbers-of-farmed-fish-C0-2015.php?American%20yellow%20perch" TargetMode="External"/><Relationship Id="rId11" Type="http://schemas.openxmlformats.org/officeDocument/2006/relationships/hyperlink" Target="http://fishcount.org.uk/studydatascreens2/2015/numbers-of-farmed-fish-C0-2015.php?Red%20drum" TargetMode="External"/><Relationship Id="rId22" Type="http://schemas.openxmlformats.org/officeDocument/2006/relationships/drawing" Target="../drawings/drawing3.xml"/><Relationship Id="rId10" Type="http://schemas.openxmlformats.org/officeDocument/2006/relationships/hyperlink" Target="http://fishcount.org.uk/studydatascreens2/2015/fishcount_fctab_emw_part_level1.php?EMW-205" TargetMode="External"/><Relationship Id="rId21" Type="http://schemas.openxmlformats.org/officeDocument/2006/relationships/hyperlink" Target="http://fishcount.org.uk/studydatascreens2/2015/fishcount_fctab_emw_part_level1.php?EMW-7" TargetMode="External"/><Relationship Id="rId13" Type="http://schemas.openxmlformats.org/officeDocument/2006/relationships/hyperlink" Target="http://fishcount.org.uk/studydatascreens2/2015/numbers-of-farmed-fish-C0-2015.php?Sturgeons%20nei" TargetMode="External"/><Relationship Id="rId12" Type="http://schemas.openxmlformats.org/officeDocument/2006/relationships/hyperlink" Target="http://fishcount.org.uk/studydatascreens2/2015/fishcount_fctab_emw_part_level1.php?EMW-156" TargetMode="External"/><Relationship Id="rId1" Type="http://schemas.openxmlformats.org/officeDocument/2006/relationships/hyperlink" Target="http://fishcount.org.uk/studydatascreens2/2015/numbers-of-farmed-fish-C0-2015.php?Channel%20catfish" TargetMode="External"/><Relationship Id="rId2" Type="http://schemas.openxmlformats.org/officeDocument/2006/relationships/hyperlink" Target="http://fishcount.org.uk/studydatascreens2/2015/fishcount_fctab_emw_part_level1.php?EMW-45" TargetMode="External"/><Relationship Id="rId3" Type="http://schemas.openxmlformats.org/officeDocument/2006/relationships/hyperlink" Target="http://fishcount.org.uk/studydatascreens2/2015/numbers-of-farmed-fish-C0-2015.php?Rainbow%20trout" TargetMode="External"/><Relationship Id="rId4" Type="http://schemas.openxmlformats.org/officeDocument/2006/relationships/hyperlink" Target="http://fishcount.org.uk/studydatascreens2/2015/fishcount_fctab_emw_part_level1.php?EMW-155" TargetMode="External"/><Relationship Id="rId9" Type="http://schemas.openxmlformats.org/officeDocument/2006/relationships/hyperlink" Target="http://fishcount.org.uk/studydatascreens2/2015/numbers-of-farmed-fish-C0-2015.php?Striped%20bass,%20hybrid" TargetMode="External"/><Relationship Id="rId15" Type="http://schemas.openxmlformats.org/officeDocument/2006/relationships/hyperlink" Target="http://fishcount.org.uk/studydatascreens2/2015/numbers-of-farmed-fish-C0-2015.php?Marine%20fishes%20nei" TargetMode="External"/><Relationship Id="rId14" Type="http://schemas.openxmlformats.org/officeDocument/2006/relationships/hyperlink" Target="http://fishcount.org.uk/studydatascreens2/2015/numbers-of-farmed-fish-C0-2015.php?Freshwater%20fishes%20nei" TargetMode="External"/><Relationship Id="rId17" Type="http://schemas.openxmlformats.org/officeDocument/2006/relationships/hyperlink" Target="http://fishcount.org.uk/studydatascreens2/2015/numbers-of-farmed-fish-C0-2015.php?Longfin%20yellowtail" TargetMode="External"/><Relationship Id="rId16" Type="http://schemas.openxmlformats.org/officeDocument/2006/relationships/hyperlink" Target="http://fishcount.org.uk/studydatascreens2/2015/numbers-of-farmed-fish-C0-2015.php?Cyprinids%20nei" TargetMode="External"/><Relationship Id="rId5" Type="http://schemas.openxmlformats.org/officeDocument/2006/relationships/hyperlink" Target="http://fishcount.org.uk/studydatascreens2/2015/numbers-of-farmed-fish-C0-2015.php?Atlantic%20salmon" TargetMode="External"/><Relationship Id="rId19" Type="http://schemas.openxmlformats.org/officeDocument/2006/relationships/hyperlink" Target="http://fishcount.org.uk/studydatascreens2/2015/fishcount_fctab_emw_part_level1.php?EMW-25" TargetMode="External"/><Relationship Id="rId6" Type="http://schemas.openxmlformats.org/officeDocument/2006/relationships/hyperlink" Target="http://fishcount.org.uk/studydatascreens2/2015/fishcount_fctab_emw_part_level1.php?EMW-21" TargetMode="External"/><Relationship Id="rId18" Type="http://schemas.openxmlformats.org/officeDocument/2006/relationships/hyperlink" Target="http://fishcount.org.uk/studydatascreens2/2015/numbers-of-farmed-fish-C0-2015.php?Barramundi(=Giant%20seaperch)" TargetMode="External"/><Relationship Id="rId7" Type="http://schemas.openxmlformats.org/officeDocument/2006/relationships/hyperlink" Target="http://fishcount.org.uk/studydatascreens2/2015/numbers-of-farmed-fish-C0-2015.php?Tilapias%20nei" TargetMode="External"/><Relationship Id="rId8" Type="http://schemas.openxmlformats.org/officeDocument/2006/relationships/hyperlink" Target="http://fishcount.org.uk/studydatascreens2/2015/fishcount_fctab_emw_part_level1.php?EMW-2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25"/>
    <col customWidth="1" min="4" max="4" width="29.75"/>
    <col customWidth="1" min="5" max="5" width="25.25"/>
    <col customWidth="1" min="6" max="6" width="3.88"/>
    <col customWidth="1" min="7" max="7" width="34.0"/>
    <col customWidth="1" min="8" max="8" width="8.25"/>
    <col customWidth="1" min="9" max="9" width="4.0"/>
    <col customWidth="1" min="10" max="10" width="27.75"/>
    <col customWidth="1" min="11" max="11" width="25.75"/>
  </cols>
  <sheetData>
    <row r="1" ht="27.75" customHeight="1">
      <c r="A1" s="1" t="s">
        <v>0</v>
      </c>
    </row>
    <row r="2">
      <c r="A2" s="2" t="s">
        <v>1</v>
      </c>
    </row>
    <row r="3">
      <c r="A3" s="3" t="s">
        <v>2</v>
      </c>
    </row>
    <row r="4">
      <c r="A4" s="4" t="s">
        <v>3</v>
      </c>
      <c r="F4" s="5"/>
      <c r="G4" s="4" t="s">
        <v>4</v>
      </c>
      <c r="I4" s="5"/>
      <c r="J4" s="4" t="s">
        <v>5</v>
      </c>
    </row>
    <row r="5">
      <c r="A5" s="6" t="s">
        <v>6</v>
      </c>
      <c r="B5" s="5"/>
      <c r="C5" s="5" t="s">
        <v>7</v>
      </c>
      <c r="D5" s="5" t="s">
        <v>8</v>
      </c>
      <c r="E5" s="7">
        <f>'Cutoff Calculations'!G10</f>
        <v>9375</v>
      </c>
      <c r="G5" s="8" t="s">
        <v>9</v>
      </c>
      <c r="H5" s="9"/>
      <c r="J5" s="10" t="s">
        <v>10</v>
      </c>
    </row>
    <row r="6">
      <c r="A6" s="11" t="s">
        <v>11</v>
      </c>
      <c r="B6" s="7" t="s">
        <v>12</v>
      </c>
      <c r="C6" s="7" t="s">
        <v>13</v>
      </c>
      <c r="D6" s="7" t="s">
        <v>14</v>
      </c>
      <c r="E6" s="7" t="s">
        <v>15</v>
      </c>
      <c r="G6" s="12" t="s">
        <v>16</v>
      </c>
      <c r="H6" s="13">
        <f>E9</f>
        <v>0.9994236959</v>
      </c>
    </row>
    <row r="7">
      <c r="A7" s="11" t="s">
        <v>17</v>
      </c>
      <c r="B7" s="7">
        <v>17403.0</v>
      </c>
      <c r="C7" s="7">
        <v>1848106.0</v>
      </c>
      <c r="D7" s="7">
        <f t="shared" ref="D7:D15" si="1">D8+C7</f>
        <v>8889759283</v>
      </c>
      <c r="E7" s="13">
        <f t="shared" ref="E7:E15" si="2">D7/$C$16</f>
        <v>1</v>
      </c>
      <c r="G7" s="12" t="s">
        <v>18</v>
      </c>
      <c r="H7" s="13">
        <f>E8</f>
        <v>0.9997921084</v>
      </c>
    </row>
    <row r="8">
      <c r="A8" s="7" t="s">
        <v>19</v>
      </c>
      <c r="B8" s="11">
        <v>599.0</v>
      </c>
      <c r="C8" s="11">
        <v>3275099.0</v>
      </c>
      <c r="D8" s="7">
        <f t="shared" si="1"/>
        <v>8887911177</v>
      </c>
      <c r="E8" s="13">
        <f t="shared" si="2"/>
        <v>0.9997921084</v>
      </c>
      <c r="G8" s="12" t="s">
        <v>20</v>
      </c>
      <c r="H8" s="13">
        <f>(E5-2000)/(15999-2000)</f>
        <v>0.5268233445</v>
      </c>
    </row>
    <row r="9">
      <c r="A9" s="7" t="s">
        <v>21</v>
      </c>
      <c r="B9" s="7">
        <v>93.0</v>
      </c>
      <c r="C9" s="7">
        <v>2101310.0</v>
      </c>
      <c r="D9" s="7">
        <f t="shared" si="1"/>
        <v>8884636078</v>
      </c>
      <c r="E9" s="13">
        <f t="shared" si="2"/>
        <v>0.9994236959</v>
      </c>
      <c r="G9" s="12" t="s">
        <v>22</v>
      </c>
      <c r="H9" s="14">
        <f>(H6-H7)*H8+H7</f>
        <v>0.9995980201</v>
      </c>
    </row>
    <row r="10">
      <c r="A10" s="7" t="s">
        <v>23</v>
      </c>
      <c r="B10" s="7">
        <v>100.0</v>
      </c>
      <c r="C10" s="7">
        <v>4178760.0</v>
      </c>
      <c r="D10" s="7">
        <f t="shared" si="1"/>
        <v>8882534768</v>
      </c>
      <c r="E10" s="13">
        <f t="shared" si="2"/>
        <v>0.9991873216</v>
      </c>
      <c r="G10" s="12"/>
      <c r="H10" s="13"/>
    </row>
    <row r="11">
      <c r="A11" s="7" t="s">
        <v>24</v>
      </c>
      <c r="B11" s="7">
        <v>263.0</v>
      </c>
      <c r="C11" s="7">
        <v>2.0957369E7</v>
      </c>
      <c r="D11" s="7">
        <f t="shared" si="1"/>
        <v>8878356008</v>
      </c>
      <c r="E11" s="13">
        <f t="shared" si="2"/>
        <v>0.9987172572</v>
      </c>
      <c r="G11" s="12"/>
      <c r="H11" s="13"/>
      <c r="J11" s="5"/>
      <c r="K11" s="15" t="s">
        <v>25</v>
      </c>
    </row>
    <row r="12">
      <c r="A12" s="7" t="s">
        <v>26</v>
      </c>
      <c r="B12" s="7">
        <v>1391.0</v>
      </c>
      <c r="C12" s="7">
        <v>2.06319172E8</v>
      </c>
      <c r="D12" s="7">
        <f t="shared" si="1"/>
        <v>8857398639</v>
      </c>
      <c r="E12" s="13">
        <f t="shared" si="2"/>
        <v>0.996359784</v>
      </c>
      <c r="G12" s="12"/>
      <c r="H12" s="13"/>
      <c r="J12" s="16" t="s">
        <v>7</v>
      </c>
      <c r="K12" s="17">
        <f>H9</f>
        <v>0.9995980201</v>
      </c>
    </row>
    <row r="13">
      <c r="A13" s="7" t="s">
        <v>27</v>
      </c>
      <c r="B13" s="7">
        <v>1965.0</v>
      </c>
      <c r="C13" s="7">
        <v>4.7985066E8</v>
      </c>
      <c r="D13" s="7">
        <f t="shared" si="1"/>
        <v>8651079467</v>
      </c>
      <c r="E13" s="13">
        <f t="shared" si="2"/>
        <v>0.9731511497</v>
      </c>
      <c r="G13" s="12"/>
      <c r="H13" s="13"/>
      <c r="J13" s="16" t="s">
        <v>28</v>
      </c>
      <c r="K13" s="17">
        <f>H23</f>
        <v>0.9822278629</v>
      </c>
    </row>
    <row r="14">
      <c r="A14" s="7" t="s">
        <v>29</v>
      </c>
      <c r="B14" s="7">
        <v>3726.0</v>
      </c>
      <c r="C14" s="7">
        <v>1.457192115E9</v>
      </c>
      <c r="D14" s="7">
        <f t="shared" si="1"/>
        <v>8171228807</v>
      </c>
      <c r="E14" s="13">
        <f t="shared" si="2"/>
        <v>0.919173236</v>
      </c>
      <c r="G14" s="5"/>
      <c r="H14" s="13"/>
      <c r="J14" s="16" t="s">
        <v>30</v>
      </c>
      <c r="K14" s="17">
        <f>H36</f>
        <v>0.9984975641</v>
      </c>
    </row>
    <row r="15">
      <c r="A15" s="7" t="s">
        <v>31</v>
      </c>
      <c r="B15" s="7">
        <v>7211.0</v>
      </c>
      <c r="C15" s="7">
        <v>6.714036692E9</v>
      </c>
      <c r="D15" s="7">
        <f t="shared" si="1"/>
        <v>6714036692</v>
      </c>
      <c r="E15" s="13">
        <f t="shared" si="2"/>
        <v>0.7552551738</v>
      </c>
      <c r="G15" s="18"/>
      <c r="H15" s="13"/>
      <c r="J15" s="16" t="s">
        <v>32</v>
      </c>
      <c r="K15" s="17">
        <f>H48</f>
        <v>0.9826901398</v>
      </c>
    </row>
    <row r="16">
      <c r="A16" s="19" t="s">
        <v>33</v>
      </c>
      <c r="B16" s="7">
        <v>32751.0</v>
      </c>
      <c r="C16" s="7">
        <f>SUM(C7:C15)</f>
        <v>8889759283</v>
      </c>
      <c r="D16" s="7"/>
      <c r="E16" s="7"/>
      <c r="G16" s="18"/>
      <c r="H16" s="9"/>
      <c r="J16" s="16" t="s">
        <v>34</v>
      </c>
      <c r="K16" s="17">
        <f>H63</f>
        <v>0.7036328713</v>
      </c>
    </row>
    <row r="17">
      <c r="A17" s="19" t="s">
        <v>35</v>
      </c>
      <c r="B17" s="7"/>
      <c r="C17" s="7">
        <v>1.621400316E9</v>
      </c>
      <c r="D17" s="7"/>
      <c r="E17" s="7"/>
      <c r="G17" s="20"/>
      <c r="H17" s="9"/>
      <c r="J17" s="21" t="s">
        <v>36</v>
      </c>
      <c r="K17" s="22">
        <f>((K12*C17)+(K13*C30)+(K14*C42)+(K15*C55)+(K16*C71))/(C17+C30+C42+C55+C71)</f>
        <v>0.9839114353</v>
      </c>
    </row>
    <row r="18">
      <c r="A18" s="23"/>
      <c r="B18" s="23"/>
      <c r="C18" s="23"/>
      <c r="D18" s="23"/>
      <c r="E18" s="23"/>
      <c r="G18" s="24"/>
      <c r="H18" s="9"/>
      <c r="J18" s="21" t="s">
        <v>37</v>
      </c>
      <c r="K18" s="22">
        <f>((K12*C17)+(K13*C30)+(K14*C42)+(K15*C55)+(K16*C71)+K24)/(C17+C30+C42+C55+C71+K24)</f>
        <v>0.9869794103</v>
      </c>
    </row>
    <row r="19">
      <c r="A19" s="6" t="s">
        <v>38</v>
      </c>
      <c r="B19" s="5"/>
      <c r="C19" s="5" t="s">
        <v>39</v>
      </c>
      <c r="D19" s="5" t="s">
        <v>8</v>
      </c>
      <c r="E19" s="7">
        <f>'Cutoff Calculations'!F10</f>
        <v>2250</v>
      </c>
      <c r="G19" s="25" t="s">
        <v>40</v>
      </c>
      <c r="H19" s="9"/>
      <c r="J19" s="26"/>
      <c r="K19" s="26"/>
    </row>
    <row r="20">
      <c r="A20" s="11" t="s">
        <v>11</v>
      </c>
      <c r="B20" s="7" t="s">
        <v>12</v>
      </c>
      <c r="C20" s="7" t="s">
        <v>13</v>
      </c>
      <c r="D20" s="7" t="s">
        <v>14</v>
      </c>
      <c r="E20" s="7" t="s">
        <v>15</v>
      </c>
      <c r="G20" s="12" t="s">
        <v>16</v>
      </c>
      <c r="H20" s="14">
        <f>E25</f>
        <v>0.9808797948</v>
      </c>
      <c r="J20" s="27" t="s">
        <v>41</v>
      </c>
      <c r="K20" s="28"/>
    </row>
    <row r="21">
      <c r="A21" s="11" t="s">
        <v>42</v>
      </c>
      <c r="B21" s="7">
        <v>202403.0</v>
      </c>
      <c r="C21" s="7">
        <v>3260087.0</v>
      </c>
      <c r="D21" s="7">
        <f t="shared" ref="D21:D29" si="3">D22+C21</f>
        <v>368241393</v>
      </c>
      <c r="E21" s="13">
        <f t="shared" ref="E21:E29" si="4">D21/$C$30</f>
        <v>1</v>
      </c>
      <c r="G21" s="12" t="s">
        <v>18</v>
      </c>
      <c r="H21" s="13">
        <f>E24</f>
        <v>0.9848558144</v>
      </c>
      <c r="J21" s="29" t="s">
        <v>43</v>
      </c>
    </row>
    <row r="22">
      <c r="A22" s="7" t="s">
        <v>44</v>
      </c>
      <c r="B22" s="11">
        <v>17066.0</v>
      </c>
      <c r="C22" s="11">
        <v>1063287.0</v>
      </c>
      <c r="D22" s="7">
        <f t="shared" si="3"/>
        <v>364981306</v>
      </c>
      <c r="E22" s="13">
        <f t="shared" si="4"/>
        <v>0.9911468752</v>
      </c>
      <c r="G22" s="12" t="s">
        <v>20</v>
      </c>
      <c r="H22" s="13">
        <f>(E19-400)/(3199-400)</f>
        <v>0.6609503394</v>
      </c>
    </row>
    <row r="23">
      <c r="A23" s="7" t="s">
        <v>45</v>
      </c>
      <c r="B23" s="7">
        <v>7871.0</v>
      </c>
      <c r="C23" s="7">
        <v>1253342.0</v>
      </c>
      <c r="D23" s="7">
        <f t="shared" si="3"/>
        <v>363918019</v>
      </c>
      <c r="E23" s="13">
        <f t="shared" si="4"/>
        <v>0.9882594024</v>
      </c>
      <c r="G23" s="12" t="s">
        <v>22</v>
      </c>
      <c r="H23" s="14">
        <f>(H20-H21)*H22+H21</f>
        <v>0.9822278629</v>
      </c>
    </row>
    <row r="24">
      <c r="A24" s="7" t="s">
        <v>46</v>
      </c>
      <c r="B24" s="7">
        <v>1482.0</v>
      </c>
      <c r="C24" s="7">
        <v>1464135.0</v>
      </c>
      <c r="D24" s="7">
        <f t="shared" si="3"/>
        <v>362664677</v>
      </c>
      <c r="E24" s="13">
        <f t="shared" si="4"/>
        <v>0.9848558144</v>
      </c>
      <c r="G24" s="12"/>
      <c r="H24" s="9"/>
      <c r="J24" s="5" t="s">
        <v>47</v>
      </c>
      <c r="K24" s="7">
        <f>'Fish Estimates'!B74</f>
        <v>532510706.4</v>
      </c>
    </row>
    <row r="25">
      <c r="A25" s="7" t="s">
        <v>48</v>
      </c>
      <c r="B25" s="7">
        <v>513.0</v>
      </c>
      <c r="C25" s="7">
        <v>3499325.0</v>
      </c>
      <c r="D25" s="7">
        <f t="shared" si="3"/>
        <v>361200542</v>
      </c>
      <c r="E25" s="13">
        <f t="shared" si="4"/>
        <v>0.9808797948</v>
      </c>
      <c r="G25" s="30"/>
      <c r="H25" s="9"/>
      <c r="J25" s="31"/>
      <c r="K25" s="28"/>
    </row>
    <row r="26">
      <c r="A26" s="7" t="s">
        <v>49</v>
      </c>
      <c r="B26" s="7">
        <v>1095.0</v>
      </c>
      <c r="C26" s="7">
        <v>1.6185116E7</v>
      </c>
      <c r="D26" s="7">
        <f t="shared" si="3"/>
        <v>357701217</v>
      </c>
      <c r="E26" s="13">
        <f t="shared" si="4"/>
        <v>0.9713769929</v>
      </c>
      <c r="G26" s="5"/>
      <c r="H26" s="9"/>
      <c r="J26" s="27" t="s">
        <v>50</v>
      </c>
      <c r="K26" s="28"/>
    </row>
    <row r="27">
      <c r="A27" s="7" t="s">
        <v>51</v>
      </c>
      <c r="B27" s="7">
        <v>1484.0</v>
      </c>
      <c r="C27" s="7">
        <v>4.2059552E7</v>
      </c>
      <c r="D27" s="7">
        <f t="shared" si="3"/>
        <v>341516101</v>
      </c>
      <c r="E27" s="13">
        <f t="shared" si="4"/>
        <v>0.9274245305</v>
      </c>
      <c r="G27" s="5"/>
      <c r="H27" s="9"/>
      <c r="J27" s="32" t="s">
        <v>52</v>
      </c>
      <c r="K27" s="33">
        <f>(SUM(B9:B15,B8*H8)+SUM(B25:B29,B24*H22)+SUM(B36:B40,B35*H35)+SUM(B52:B54,B51*H47)+SUM(B66:B70,B65*H62))/SUM(B16,B30,B41,B55,B71)</f>
        <v>0.1532468205</v>
      </c>
    </row>
    <row r="28">
      <c r="A28" s="34" t="s">
        <v>53</v>
      </c>
      <c r="B28" s="7">
        <v>266.0</v>
      </c>
      <c r="C28" s="7">
        <v>1.797381E7</v>
      </c>
      <c r="D28" s="7">
        <f t="shared" si="3"/>
        <v>299456549</v>
      </c>
      <c r="E28" s="13">
        <f t="shared" si="4"/>
        <v>0.8132071915</v>
      </c>
      <c r="G28" s="5"/>
      <c r="H28" s="9"/>
      <c r="J28" s="35" t="str">
        <f>HYPERLINK("https://web.archive.org/web/20150812024425/http://www.epa.gov/region7/water/cafo/index.htm","EPA 2012: 'CAFOs make up approximately 15 percent of total AFOs'")</f>
        <v>EPA 2012: 'CAFOs make up approximately 15 percent of total AFOs'</v>
      </c>
      <c r="K28" s="36"/>
    </row>
    <row r="29">
      <c r="A29" s="34" t="s">
        <v>54</v>
      </c>
      <c r="B29" s="7">
        <v>320.0</v>
      </c>
      <c r="C29" s="7">
        <v>2.81482739E8</v>
      </c>
      <c r="D29" s="7">
        <f t="shared" si="3"/>
        <v>281482739</v>
      </c>
      <c r="E29" s="13">
        <f t="shared" si="4"/>
        <v>0.7643973338</v>
      </c>
      <c r="G29" s="5"/>
      <c r="H29" s="9"/>
      <c r="J29" s="37" t="s">
        <v>55</v>
      </c>
    </row>
    <row r="30">
      <c r="A30" s="19" t="s">
        <v>35</v>
      </c>
      <c r="B30" s="7">
        <v>232500.0</v>
      </c>
      <c r="C30" s="7">
        <f>SUM(C21:C29)</f>
        <v>368241393</v>
      </c>
      <c r="D30" s="18"/>
      <c r="E30" s="34"/>
      <c r="G30" s="5"/>
      <c r="H30" s="9"/>
    </row>
    <row r="31">
      <c r="A31" s="18"/>
      <c r="B31" s="18"/>
      <c r="C31" s="18"/>
      <c r="D31" s="18"/>
      <c r="E31" s="34"/>
      <c r="G31" s="5"/>
      <c r="H31" s="9"/>
    </row>
    <row r="32">
      <c r="A32" s="6" t="s">
        <v>6</v>
      </c>
      <c r="B32" s="5"/>
      <c r="C32" s="5" t="s">
        <v>30</v>
      </c>
      <c r="D32" s="5" t="s">
        <v>8</v>
      </c>
      <c r="E32" s="7">
        <f>'Cutoff Calculations'!E10</f>
        <v>4125</v>
      </c>
      <c r="G32" s="38" t="s">
        <v>56</v>
      </c>
      <c r="H32" s="9"/>
      <c r="J32" s="39"/>
      <c r="K32" s="28"/>
    </row>
    <row r="33">
      <c r="A33" s="11" t="s">
        <v>11</v>
      </c>
      <c r="B33" s="7" t="s">
        <v>12</v>
      </c>
      <c r="C33" s="7" t="s">
        <v>13</v>
      </c>
      <c r="D33" s="7" t="s">
        <v>14</v>
      </c>
      <c r="E33" s="7" t="s">
        <v>15</v>
      </c>
      <c r="G33" s="12" t="s">
        <v>16</v>
      </c>
      <c r="H33" s="13">
        <f>E36</f>
        <v>0.9978668436</v>
      </c>
      <c r="J33" s="27" t="s">
        <v>57</v>
      </c>
      <c r="K33" s="28"/>
    </row>
    <row r="34">
      <c r="A34" s="11" t="s">
        <v>17</v>
      </c>
      <c r="B34" s="7">
        <v>8640.0</v>
      </c>
      <c r="C34" s="7">
        <v>329960.0</v>
      </c>
      <c r="D34" s="7">
        <f t="shared" ref="D34:D40" si="5">D35+C34</f>
        <v>285317097</v>
      </c>
      <c r="E34" s="13">
        <f t="shared" ref="E34:E40" si="6">D34/$C$41</f>
        <v>1</v>
      </c>
      <c r="G34" s="12" t="s">
        <v>18</v>
      </c>
      <c r="H34" s="13">
        <f>E35</f>
        <v>0.9988435323</v>
      </c>
      <c r="J34" s="40" t="str">
        <f>HYPERLINK("https://www.agcensus.usda.gov/Publications/2012/Full_Report/Volume_1,_Chapter_1_US/usv1.pdf","2012 Census of Agriculture")</f>
        <v>2012 Census of Agriculture</v>
      </c>
      <c r="K34" s="28"/>
    </row>
    <row r="35">
      <c r="A35" s="7" t="s">
        <v>58</v>
      </c>
      <c r="B35" s="11">
        <v>67.0</v>
      </c>
      <c r="C35" s="11">
        <v>278666.0</v>
      </c>
      <c r="D35" s="7">
        <f t="shared" si="5"/>
        <v>284987137</v>
      </c>
      <c r="E35" s="13">
        <f t="shared" si="6"/>
        <v>0.9988435323</v>
      </c>
      <c r="G35" s="30" t="s">
        <v>20</v>
      </c>
      <c r="H35" s="13">
        <f>(E32-2000)/(7999-2000)</f>
        <v>0.3542257043</v>
      </c>
      <c r="J35" s="40" t="str">
        <f>HYPERLINK("https://www3.epa.gov/npdes/pubs/sector_table.pdf","EPA CAFO definitions")</f>
        <v>EPA CAFO definitions</v>
      </c>
    </row>
    <row r="36">
      <c r="A36" s="7" t="s">
        <v>59</v>
      </c>
      <c r="B36" s="7">
        <v>97.0</v>
      </c>
      <c r="C36" s="7">
        <v>1143142.0</v>
      </c>
      <c r="D36" s="7">
        <f t="shared" si="5"/>
        <v>284708471</v>
      </c>
      <c r="E36" s="13">
        <f t="shared" si="6"/>
        <v>0.9978668436</v>
      </c>
      <c r="G36" s="30" t="s">
        <v>22</v>
      </c>
      <c r="H36" s="14">
        <f>(H33-H34)*H35+H34</f>
        <v>0.9984975641</v>
      </c>
      <c r="J36" s="39"/>
      <c r="K36" s="28"/>
    </row>
    <row r="37">
      <c r="A37" s="7" t="s">
        <v>21</v>
      </c>
      <c r="B37" s="7">
        <v>222.0</v>
      </c>
      <c r="C37" s="7">
        <v>5056778.0</v>
      </c>
      <c r="D37" s="7">
        <f t="shared" si="5"/>
        <v>283565329</v>
      </c>
      <c r="E37" s="13">
        <f t="shared" si="6"/>
        <v>0.9938602768</v>
      </c>
      <c r="G37" s="26"/>
      <c r="H37" s="9"/>
      <c r="J37" s="27" t="s">
        <v>60</v>
      </c>
      <c r="K37" s="28"/>
    </row>
    <row r="38">
      <c r="A38" s="7" t="s">
        <v>23</v>
      </c>
      <c r="B38" s="7">
        <v>645.0</v>
      </c>
      <c r="C38" s="7">
        <v>2.80115E7</v>
      </c>
      <c r="D38" s="7">
        <f t="shared" si="5"/>
        <v>278508551</v>
      </c>
      <c r="E38" s="13">
        <f t="shared" si="6"/>
        <v>0.9761369155</v>
      </c>
      <c r="G38" s="26"/>
      <c r="H38" s="9"/>
      <c r="J38" s="37" t="s">
        <v>61</v>
      </c>
      <c r="K38" s="28"/>
    </row>
    <row r="39">
      <c r="A39" s="7" t="s">
        <v>24</v>
      </c>
      <c r="B39" s="7">
        <v>653.0</v>
      </c>
      <c r="C39" s="7">
        <v>4.9106441E7</v>
      </c>
      <c r="D39" s="7">
        <f t="shared" si="5"/>
        <v>250497051</v>
      </c>
      <c r="E39" s="13">
        <f t="shared" si="6"/>
        <v>0.8779601841</v>
      </c>
      <c r="G39" s="26"/>
      <c r="H39" s="9"/>
      <c r="K39" s="28"/>
    </row>
    <row r="40">
      <c r="A40" s="7" t="s">
        <v>54</v>
      </c>
      <c r="B40" s="7">
        <v>830.0</v>
      </c>
      <c r="C40" s="7">
        <v>2.0139061E8</v>
      </c>
      <c r="D40" s="7">
        <f t="shared" si="5"/>
        <v>201390610</v>
      </c>
      <c r="E40" s="13">
        <f t="shared" si="6"/>
        <v>0.7058483775</v>
      </c>
      <c r="G40" s="26"/>
      <c r="H40" s="9"/>
      <c r="K40" s="28"/>
    </row>
    <row r="41">
      <c r="A41" s="19" t="s">
        <v>33</v>
      </c>
      <c r="B41" s="7">
        <v>11154.0</v>
      </c>
      <c r="C41" s="7">
        <f>SUM(C34:C40)</f>
        <v>285317097</v>
      </c>
      <c r="D41" s="7"/>
      <c r="E41" s="7"/>
      <c r="G41" s="26"/>
      <c r="H41" s="9"/>
      <c r="J41" s="37" t="s">
        <v>62</v>
      </c>
      <c r="K41" s="28"/>
    </row>
    <row r="42">
      <c r="A42" s="19" t="s">
        <v>35</v>
      </c>
      <c r="B42" s="7"/>
      <c r="C42" s="7">
        <v>1.04322709E8</v>
      </c>
      <c r="D42" s="7"/>
      <c r="E42" s="7"/>
      <c r="G42" s="26"/>
      <c r="H42" s="9"/>
      <c r="K42" s="28"/>
    </row>
    <row r="43">
      <c r="A43" s="18"/>
      <c r="B43" s="18"/>
      <c r="C43" s="18"/>
      <c r="D43" s="18"/>
      <c r="E43" s="18"/>
      <c r="G43" s="5"/>
      <c r="H43" s="9"/>
      <c r="K43" s="28"/>
    </row>
    <row r="44">
      <c r="A44" s="19" t="s">
        <v>63</v>
      </c>
      <c r="B44" s="7"/>
      <c r="C44" s="7" t="s">
        <v>32</v>
      </c>
      <c r="D44" s="23" t="s">
        <v>8</v>
      </c>
      <c r="E44" s="7">
        <f>'Cutoff Calculations'!D10</f>
        <v>562.5</v>
      </c>
      <c r="G44" s="8" t="s">
        <v>64</v>
      </c>
      <c r="H44" s="9"/>
      <c r="K44" s="28"/>
    </row>
    <row r="45">
      <c r="A45" s="11" t="s">
        <v>11</v>
      </c>
      <c r="B45" s="7" t="s">
        <v>12</v>
      </c>
      <c r="C45" s="7" t="s">
        <v>13</v>
      </c>
      <c r="D45" s="7" t="s">
        <v>14</v>
      </c>
      <c r="E45" s="7" t="s">
        <v>15</v>
      </c>
      <c r="G45" s="12" t="s">
        <v>16</v>
      </c>
      <c r="H45" s="13">
        <f>E52</f>
        <v>0.9717514154</v>
      </c>
      <c r="K45" s="28"/>
    </row>
    <row r="46">
      <c r="A46" s="11" t="s">
        <v>65</v>
      </c>
      <c r="B46" s="7">
        <v>46475.0</v>
      </c>
      <c r="C46" s="7">
        <v>278691.0</v>
      </c>
      <c r="D46" s="7">
        <f t="shared" ref="D46:D54" si="7">D47+C46</f>
        <v>72381007</v>
      </c>
      <c r="E46" s="13">
        <f t="shared" ref="E46:E54" si="8">D46/$C$55</f>
        <v>1</v>
      </c>
      <c r="G46" s="30" t="s">
        <v>18</v>
      </c>
      <c r="H46" s="13">
        <f>E51</f>
        <v>0.9842563948</v>
      </c>
      <c r="K46" s="28"/>
    </row>
    <row r="47" ht="16.5" customHeight="1">
      <c r="A47" s="7" t="s">
        <v>66</v>
      </c>
      <c r="B47" s="11">
        <v>3759.0</v>
      </c>
      <c r="C47" s="11">
        <v>122915.0</v>
      </c>
      <c r="D47" s="7">
        <f t="shared" si="7"/>
        <v>72102316</v>
      </c>
      <c r="E47" s="13">
        <f t="shared" si="8"/>
        <v>0.9961496667</v>
      </c>
      <c r="G47" s="30" t="s">
        <v>20</v>
      </c>
      <c r="H47" s="13">
        <f>(E44-500)/(999-500)</f>
        <v>0.125250501</v>
      </c>
      <c r="J47" s="37" t="s">
        <v>67</v>
      </c>
      <c r="K47" s="28"/>
    </row>
    <row r="48">
      <c r="A48" s="7" t="s">
        <v>44</v>
      </c>
      <c r="B48" s="7">
        <v>1889.0</v>
      </c>
      <c r="C48" s="7">
        <v>122090.0</v>
      </c>
      <c r="D48" s="7">
        <f t="shared" si="7"/>
        <v>71979401</v>
      </c>
      <c r="E48" s="13">
        <f t="shared" si="8"/>
        <v>0.9944515002</v>
      </c>
      <c r="G48" s="41" t="s">
        <v>22</v>
      </c>
      <c r="H48" s="14">
        <f>(H45-H46)*H47+H46</f>
        <v>0.9826901398</v>
      </c>
      <c r="K48" s="28"/>
    </row>
    <row r="49">
      <c r="A49" s="7" t="s">
        <v>68</v>
      </c>
      <c r="B49" s="7">
        <v>1220.0</v>
      </c>
      <c r="C49" s="7">
        <v>160882.0</v>
      </c>
      <c r="D49" s="7">
        <f t="shared" si="7"/>
        <v>71857311</v>
      </c>
      <c r="E49" s="13">
        <f t="shared" si="8"/>
        <v>0.9927647318</v>
      </c>
      <c r="G49" s="7"/>
      <c r="H49" s="13"/>
      <c r="K49" s="28"/>
    </row>
    <row r="50">
      <c r="A50" s="7" t="s">
        <v>69</v>
      </c>
      <c r="B50" s="7">
        <v>1451.0</v>
      </c>
      <c r="C50" s="7">
        <v>454960.0</v>
      </c>
      <c r="D50" s="7">
        <f t="shared" si="7"/>
        <v>71696429</v>
      </c>
      <c r="E50" s="13">
        <f t="shared" si="8"/>
        <v>0.9905420216</v>
      </c>
      <c r="G50" s="7"/>
      <c r="H50" s="13"/>
      <c r="J50" s="37" t="s">
        <v>70</v>
      </c>
      <c r="K50" s="28"/>
    </row>
    <row r="51">
      <c r="A51" s="7" t="s">
        <v>71</v>
      </c>
      <c r="B51" s="7">
        <v>1305.0</v>
      </c>
      <c r="C51" s="7">
        <v>905123.0</v>
      </c>
      <c r="D51" s="7">
        <f t="shared" si="7"/>
        <v>71241469</v>
      </c>
      <c r="E51" s="13">
        <f t="shared" si="8"/>
        <v>0.9842563948</v>
      </c>
      <c r="G51" s="7"/>
      <c r="H51" s="13"/>
      <c r="K51" s="28"/>
    </row>
    <row r="52">
      <c r="A52" s="7" t="s">
        <v>72</v>
      </c>
      <c r="B52" s="7">
        <v>2016.0</v>
      </c>
      <c r="C52" s="7">
        <v>2741382.0</v>
      </c>
      <c r="D52" s="7">
        <f t="shared" si="7"/>
        <v>70336346</v>
      </c>
      <c r="E52" s="13">
        <f t="shared" si="8"/>
        <v>0.9717514154</v>
      </c>
      <c r="G52" s="7"/>
      <c r="H52" s="13"/>
      <c r="K52" s="28"/>
    </row>
    <row r="53">
      <c r="A53" s="7" t="s">
        <v>73</v>
      </c>
      <c r="B53" s="7">
        <v>4724.0</v>
      </c>
      <c r="C53" s="7">
        <v>1.4893679E7</v>
      </c>
      <c r="D53" s="7">
        <f t="shared" si="7"/>
        <v>67594964</v>
      </c>
      <c r="E53" s="13">
        <f t="shared" si="8"/>
        <v>0.9338770874</v>
      </c>
      <c r="G53" s="7"/>
      <c r="H53" s="13"/>
      <c r="J53" s="37" t="s">
        <v>74</v>
      </c>
      <c r="K53" s="28"/>
    </row>
    <row r="54">
      <c r="A54" s="7" t="s">
        <v>75</v>
      </c>
      <c r="B54" s="7">
        <v>3600.0</v>
      </c>
      <c r="C54" s="7">
        <v>5.2701285E7</v>
      </c>
      <c r="D54" s="7">
        <f t="shared" si="7"/>
        <v>52701285</v>
      </c>
      <c r="E54" s="13">
        <f t="shared" si="8"/>
        <v>0.7281093091</v>
      </c>
      <c r="G54" s="7"/>
      <c r="H54" s="13"/>
      <c r="K54" s="28"/>
    </row>
    <row r="55">
      <c r="A55" s="19" t="s">
        <v>35</v>
      </c>
      <c r="B55" s="7">
        <v>66439.0</v>
      </c>
      <c r="C55" s="7">
        <f>SUM(C46:C54)</f>
        <v>72381007</v>
      </c>
      <c r="D55" s="7"/>
      <c r="E55" s="7"/>
      <c r="G55" s="23"/>
      <c r="H55" s="9"/>
      <c r="J55" s="42" t="s">
        <v>76</v>
      </c>
      <c r="K55" s="28"/>
    </row>
    <row r="56">
      <c r="A56" s="18"/>
      <c r="B56" s="18"/>
      <c r="C56" s="18"/>
      <c r="D56" s="34"/>
      <c r="E56" s="7"/>
      <c r="G56" s="18"/>
      <c r="H56" s="9"/>
      <c r="J56" s="43"/>
      <c r="K56" s="28"/>
    </row>
    <row r="57">
      <c r="A57" s="44"/>
      <c r="B57" s="18"/>
      <c r="C57" s="18"/>
      <c r="D57" s="45" t="s">
        <v>77</v>
      </c>
      <c r="E57" s="7">
        <f>'Cutoff Calculations'!B10</f>
        <v>225</v>
      </c>
      <c r="G57" s="18"/>
      <c r="H57" s="9"/>
      <c r="J57" s="43"/>
      <c r="K57" s="28"/>
    </row>
    <row r="58">
      <c r="A58" s="19"/>
      <c r="B58" s="34"/>
      <c r="C58" s="34" t="s">
        <v>34</v>
      </c>
      <c r="D58" s="23" t="s">
        <v>78</v>
      </c>
      <c r="E58" s="7">
        <f>'Cutoff Calculations'!C10</f>
        <v>150</v>
      </c>
      <c r="G58" s="23"/>
      <c r="H58" s="9"/>
      <c r="J58" s="43"/>
      <c r="K58" s="28"/>
    </row>
    <row r="59">
      <c r="A59" s="19" t="s">
        <v>79</v>
      </c>
      <c r="B59" s="34"/>
      <c r="C59" s="34"/>
      <c r="D59" s="7" t="s">
        <v>80</v>
      </c>
      <c r="E59" s="7">
        <f>AVERAGE(E57:E58)</f>
        <v>187.5</v>
      </c>
      <c r="G59" s="25" t="s">
        <v>81</v>
      </c>
      <c r="H59" s="9"/>
      <c r="J59" s="43"/>
      <c r="K59" s="28"/>
    </row>
    <row r="60">
      <c r="A60" s="11" t="s">
        <v>11</v>
      </c>
      <c r="B60" s="7" t="s">
        <v>12</v>
      </c>
      <c r="C60" s="7" t="s">
        <v>13</v>
      </c>
      <c r="D60" s="7" t="s">
        <v>14</v>
      </c>
      <c r="E60" s="7" t="s">
        <v>15</v>
      </c>
      <c r="G60" s="12" t="s">
        <v>16</v>
      </c>
      <c r="H60" s="13">
        <f>E66</f>
        <v>0.6900618135</v>
      </c>
      <c r="J60" s="43"/>
      <c r="K60" s="28"/>
    </row>
    <row r="61">
      <c r="A61" s="11" t="s">
        <v>82</v>
      </c>
      <c r="B61" s="7">
        <v>228611.0</v>
      </c>
      <c r="C61" s="7">
        <v>1102366.0</v>
      </c>
      <c r="D61" s="7">
        <f t="shared" ref="D61:D70" si="9">D62+C61</f>
        <v>93648041</v>
      </c>
      <c r="E61" s="13">
        <f t="shared" ref="E61:E70" si="10">D61/$C$71</f>
        <v>1</v>
      </c>
      <c r="G61" s="20" t="s">
        <v>18</v>
      </c>
      <c r="H61" s="13">
        <f>E65</f>
        <v>0.8068909204</v>
      </c>
      <c r="J61" s="43"/>
      <c r="K61" s="28"/>
    </row>
    <row r="62">
      <c r="A62" s="7" t="s">
        <v>83</v>
      </c>
      <c r="B62" s="11">
        <v>156128.0</v>
      </c>
      <c r="C62" s="11">
        <v>2147031.0</v>
      </c>
      <c r="D62" s="7">
        <f t="shared" si="9"/>
        <v>92545675</v>
      </c>
      <c r="E62" s="13">
        <f t="shared" si="10"/>
        <v>0.9882286272</v>
      </c>
      <c r="G62" s="20" t="s">
        <v>20</v>
      </c>
      <c r="H62" s="13">
        <f>(E59-100)/(199-100)</f>
        <v>0.8838383838</v>
      </c>
      <c r="J62" s="43"/>
      <c r="K62" s="28"/>
    </row>
    <row r="63">
      <c r="A63" s="7" t="s">
        <v>84</v>
      </c>
      <c r="B63" s="7">
        <v>214091.0</v>
      </c>
      <c r="C63" s="7">
        <v>6640164.0</v>
      </c>
      <c r="D63" s="7">
        <f t="shared" si="9"/>
        <v>90398644</v>
      </c>
      <c r="E63" s="13">
        <f t="shared" si="10"/>
        <v>0.9653020291</v>
      </c>
      <c r="G63" s="20" t="s">
        <v>22</v>
      </c>
      <c r="H63" s="14">
        <f>(H60-H61)*H62+H61</f>
        <v>0.7036328713</v>
      </c>
      <c r="J63" s="43"/>
      <c r="K63" s="28"/>
    </row>
    <row r="64">
      <c r="A64" s="7" t="s">
        <v>44</v>
      </c>
      <c r="B64" s="7">
        <v>118805.0</v>
      </c>
      <c r="C64" s="7">
        <v>8194726.0</v>
      </c>
      <c r="D64" s="7">
        <f t="shared" si="9"/>
        <v>83758480</v>
      </c>
      <c r="E64" s="13">
        <f t="shared" si="10"/>
        <v>0.8943964989</v>
      </c>
      <c r="G64" s="7"/>
      <c r="H64" s="13"/>
      <c r="J64" s="43"/>
      <c r="K64" s="28"/>
    </row>
    <row r="65">
      <c r="A65" s="7" t="s">
        <v>68</v>
      </c>
      <c r="B65" s="7">
        <v>80326.0</v>
      </c>
      <c r="C65" s="7">
        <v>1.0940817E7</v>
      </c>
      <c r="D65" s="7">
        <f t="shared" si="9"/>
        <v>75563754</v>
      </c>
      <c r="E65" s="13">
        <f t="shared" si="10"/>
        <v>0.8068909204</v>
      </c>
      <c r="G65" s="7"/>
      <c r="H65" s="13"/>
      <c r="J65" s="43"/>
      <c r="K65" s="28"/>
    </row>
    <row r="66">
      <c r="A66" s="7" t="s">
        <v>69</v>
      </c>
      <c r="B66" s="7">
        <v>56079.0</v>
      </c>
      <c r="C66" s="7">
        <v>1.6757973E7</v>
      </c>
      <c r="D66" s="7">
        <f t="shared" si="9"/>
        <v>64622937</v>
      </c>
      <c r="E66" s="13">
        <f t="shared" si="10"/>
        <v>0.6900618135</v>
      </c>
      <c r="G66" s="7"/>
      <c r="H66" s="13"/>
      <c r="J66" s="43"/>
      <c r="K66" s="28"/>
    </row>
    <row r="67">
      <c r="A67" s="7" t="s">
        <v>71</v>
      </c>
      <c r="B67" s="7">
        <v>17634.0</v>
      </c>
      <c r="C67" s="7">
        <v>1.203689E7</v>
      </c>
      <c r="D67" s="7">
        <f t="shared" si="9"/>
        <v>47864964</v>
      </c>
      <c r="E67" s="13">
        <f t="shared" si="10"/>
        <v>0.5111154861</v>
      </c>
      <c r="G67" s="7"/>
      <c r="H67" s="13"/>
      <c r="J67" s="43"/>
      <c r="K67" s="28"/>
    </row>
    <row r="68">
      <c r="A68" s="7" t="s">
        <v>85</v>
      </c>
      <c r="B68" s="7">
        <v>7775.0</v>
      </c>
      <c r="C68" s="7">
        <v>1.1293032E7</v>
      </c>
      <c r="D68" s="7">
        <f t="shared" si="9"/>
        <v>35828074</v>
      </c>
      <c r="E68" s="13">
        <f t="shared" si="10"/>
        <v>0.3825822048</v>
      </c>
      <c r="G68" s="7"/>
      <c r="H68" s="13"/>
      <c r="J68" s="43"/>
      <c r="K68" s="28"/>
    </row>
    <row r="69">
      <c r="A69" s="7" t="s">
        <v>86</v>
      </c>
      <c r="B69" s="7">
        <v>1973.0</v>
      </c>
      <c r="C69" s="7">
        <v>6681843.0</v>
      </c>
      <c r="D69" s="7">
        <f t="shared" si="9"/>
        <v>24535042</v>
      </c>
      <c r="E69" s="13">
        <f t="shared" si="10"/>
        <v>0.2619920474</v>
      </c>
      <c r="G69" s="7"/>
      <c r="H69" s="13"/>
      <c r="J69" s="43"/>
      <c r="K69" s="28"/>
    </row>
    <row r="70">
      <c r="A70" s="7" t="s">
        <v>75</v>
      </c>
      <c r="B70" s="7">
        <v>1270.0</v>
      </c>
      <c r="C70" s="7">
        <v>1.7853199E7</v>
      </c>
      <c r="D70" s="7">
        <f t="shared" si="9"/>
        <v>17853199</v>
      </c>
      <c r="E70" s="13">
        <f t="shared" si="10"/>
        <v>0.1906414572</v>
      </c>
      <c r="G70" s="7"/>
      <c r="H70" s="13"/>
      <c r="J70" s="43"/>
      <c r="K70" s="28"/>
    </row>
    <row r="71">
      <c r="A71" s="19" t="s">
        <v>35</v>
      </c>
      <c r="B71" s="7">
        <v>886692.0</v>
      </c>
      <c r="C71" s="7">
        <f>SUM(C61:C70)</f>
        <v>93648041</v>
      </c>
      <c r="D71" s="18"/>
      <c r="E71" s="18"/>
      <c r="G71" s="18"/>
      <c r="H71" s="9"/>
      <c r="J71" s="43"/>
      <c r="K71" s="28"/>
    </row>
  </sheetData>
  <mergeCells count="42">
    <mergeCell ref="J4:K4"/>
    <mergeCell ref="J5:K10"/>
    <mergeCell ref="J20:K20"/>
    <mergeCell ref="J21:K23"/>
    <mergeCell ref="J25:K25"/>
    <mergeCell ref="J26:K26"/>
    <mergeCell ref="J29:K31"/>
    <mergeCell ref="J32:K32"/>
    <mergeCell ref="J33:K33"/>
    <mergeCell ref="J34:K34"/>
    <mergeCell ref="J35:K35"/>
    <mergeCell ref="J36:K36"/>
    <mergeCell ref="J37:K37"/>
    <mergeCell ref="J38:K40"/>
    <mergeCell ref="J41:K46"/>
    <mergeCell ref="J47:K49"/>
    <mergeCell ref="J67:K67"/>
    <mergeCell ref="J68:K68"/>
    <mergeCell ref="J69:K69"/>
    <mergeCell ref="J70:K70"/>
    <mergeCell ref="A1:K1"/>
    <mergeCell ref="A2:K2"/>
    <mergeCell ref="A3:K3"/>
    <mergeCell ref="A4:E4"/>
    <mergeCell ref="F4:F71"/>
    <mergeCell ref="G4:H4"/>
    <mergeCell ref="I4:I71"/>
    <mergeCell ref="J71:K71"/>
    <mergeCell ref="J50:K52"/>
    <mergeCell ref="J53:K54"/>
    <mergeCell ref="J55:K55"/>
    <mergeCell ref="J56:K56"/>
    <mergeCell ref="J57:K57"/>
    <mergeCell ref="J58:K58"/>
    <mergeCell ref="J59:K59"/>
    <mergeCell ref="J60:K60"/>
    <mergeCell ref="J61:K61"/>
    <mergeCell ref="J62:K62"/>
    <mergeCell ref="J63:K63"/>
    <mergeCell ref="J64:K64"/>
    <mergeCell ref="J65:K65"/>
    <mergeCell ref="J66:K6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tr">
        <f>HYPERLINK("https://www3.epa.gov/npdes/pubs/sector_table.pdf","Data on this sheet from EPA CAFO definitions")</f>
        <v>Data on this sheet from EPA CAFO definitions</v>
      </c>
      <c r="B1" s="36"/>
      <c r="C1" s="26"/>
      <c r="D1" s="26"/>
      <c r="E1" s="26"/>
      <c r="F1" s="26"/>
      <c r="G1" s="26"/>
      <c r="H1" s="26"/>
      <c r="I1" s="26"/>
      <c r="J1" s="26"/>
      <c r="K1" s="26"/>
      <c r="L1" s="26"/>
      <c r="M1" s="26"/>
      <c r="N1" s="26"/>
      <c r="O1" s="26"/>
      <c r="P1" s="26"/>
      <c r="Q1" s="26"/>
      <c r="R1" s="26"/>
      <c r="S1" s="26"/>
      <c r="T1" s="26"/>
      <c r="U1" s="26"/>
      <c r="V1" s="26"/>
      <c r="W1" s="26"/>
      <c r="X1" s="26"/>
      <c r="Y1" s="26"/>
      <c r="Z1" s="26"/>
    </row>
    <row r="2">
      <c r="A2" s="26"/>
      <c r="B2" s="26"/>
      <c r="C2" s="26"/>
      <c r="D2" s="26"/>
      <c r="E2" s="26"/>
      <c r="F2" s="26"/>
      <c r="G2" s="26"/>
      <c r="H2" s="26"/>
      <c r="I2" s="26"/>
      <c r="J2" s="26"/>
      <c r="K2" s="26"/>
      <c r="L2" s="26"/>
      <c r="M2" s="26"/>
      <c r="N2" s="26"/>
      <c r="O2" s="26"/>
      <c r="P2" s="26"/>
      <c r="Q2" s="26"/>
      <c r="R2" s="26"/>
      <c r="S2" s="26"/>
      <c r="T2" s="26"/>
      <c r="U2" s="26"/>
      <c r="V2" s="26"/>
      <c r="W2" s="26"/>
      <c r="X2" s="26"/>
      <c r="Y2" s="26"/>
      <c r="Z2" s="26"/>
    </row>
    <row r="3">
      <c r="A3" s="26" t="s">
        <v>87</v>
      </c>
      <c r="B3" s="47">
        <v>0.75</v>
      </c>
      <c r="C3" s="26"/>
      <c r="D3" s="26"/>
      <c r="E3" s="26"/>
      <c r="F3" s="26"/>
      <c r="G3" s="26"/>
      <c r="H3" s="26"/>
      <c r="I3" s="26"/>
      <c r="J3" s="26"/>
      <c r="K3" s="26"/>
      <c r="L3" s="26"/>
      <c r="M3" s="26"/>
      <c r="N3" s="26"/>
      <c r="O3" s="26"/>
      <c r="P3" s="26"/>
      <c r="Q3" s="26"/>
      <c r="R3" s="26"/>
      <c r="S3" s="26"/>
      <c r="T3" s="26"/>
      <c r="U3" s="26"/>
      <c r="V3" s="26"/>
      <c r="W3" s="26"/>
      <c r="X3" s="26"/>
      <c r="Y3" s="26"/>
      <c r="Z3" s="26"/>
    </row>
    <row r="4">
      <c r="A4" s="26" t="s">
        <v>88</v>
      </c>
      <c r="B4" s="47">
        <v>0.25</v>
      </c>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t="s">
        <v>89</v>
      </c>
      <c r="C6" s="26" t="s">
        <v>90</v>
      </c>
      <c r="D6" s="26" t="s">
        <v>32</v>
      </c>
      <c r="E6" s="26" t="s">
        <v>30</v>
      </c>
      <c r="F6" s="26" t="s">
        <v>91</v>
      </c>
      <c r="G6" s="26" t="s">
        <v>92</v>
      </c>
      <c r="H6" s="26"/>
      <c r="I6" s="26"/>
      <c r="J6" s="26"/>
      <c r="K6" s="26"/>
      <c r="L6" s="26"/>
      <c r="M6" s="26"/>
      <c r="N6" s="26"/>
      <c r="O6" s="26"/>
      <c r="P6" s="26"/>
      <c r="Q6" s="26"/>
      <c r="R6" s="26"/>
      <c r="S6" s="26"/>
      <c r="T6" s="26"/>
      <c r="U6" s="26"/>
      <c r="V6" s="26"/>
      <c r="W6" s="26"/>
      <c r="X6" s="26"/>
      <c r="Y6" s="26"/>
      <c r="Z6" s="26"/>
    </row>
    <row r="7">
      <c r="A7" s="26" t="s">
        <v>93</v>
      </c>
      <c r="B7" s="47">
        <v>300.0</v>
      </c>
      <c r="C7" s="47">
        <v>200.0</v>
      </c>
      <c r="D7" s="47">
        <v>750.0</v>
      </c>
      <c r="E7" s="47">
        <v>16500.0</v>
      </c>
      <c r="F7" s="47">
        <v>9000.0</v>
      </c>
      <c r="G7" s="47">
        <v>37500.0</v>
      </c>
      <c r="H7" s="26"/>
      <c r="I7" s="26"/>
      <c r="J7" s="26"/>
      <c r="K7" s="26"/>
      <c r="L7" s="26"/>
      <c r="M7" s="26"/>
      <c r="N7" s="26"/>
      <c r="O7" s="26"/>
      <c r="P7" s="26"/>
      <c r="Q7" s="26"/>
      <c r="R7" s="26"/>
      <c r="S7" s="26"/>
      <c r="T7" s="26"/>
      <c r="U7" s="26"/>
      <c r="V7" s="26"/>
      <c r="W7" s="26"/>
      <c r="X7" s="26"/>
      <c r="Y7" s="26"/>
      <c r="Z7" s="26"/>
    </row>
    <row r="8">
      <c r="A8" s="26" t="s">
        <v>94</v>
      </c>
      <c r="B8" s="47">
        <v>1000.0</v>
      </c>
      <c r="C8" s="47">
        <v>700.0</v>
      </c>
      <c r="D8" s="47">
        <v>2500.0</v>
      </c>
      <c r="E8" s="47">
        <v>55000.0</v>
      </c>
      <c r="F8" s="47">
        <v>30000.0</v>
      </c>
      <c r="G8" s="47">
        <v>125000.0</v>
      </c>
      <c r="H8" s="26"/>
      <c r="I8" s="26"/>
      <c r="J8" s="26"/>
      <c r="K8" s="26"/>
      <c r="L8" s="26"/>
      <c r="M8" s="26"/>
      <c r="N8" s="26"/>
      <c r="O8" s="26"/>
      <c r="P8" s="26"/>
      <c r="Q8" s="26"/>
      <c r="R8" s="26"/>
      <c r="S8" s="26"/>
      <c r="T8" s="26"/>
      <c r="U8" s="26"/>
      <c r="V8" s="26"/>
      <c r="W8" s="26"/>
      <c r="X8" s="26"/>
      <c r="Y8" s="26"/>
      <c r="Z8" s="26"/>
    </row>
    <row r="9">
      <c r="A9" s="26" t="s">
        <v>95</v>
      </c>
      <c r="B9" s="26" t="s">
        <v>96</v>
      </c>
      <c r="C9" s="26" t="s">
        <v>96</v>
      </c>
      <c r="D9" s="26" t="s">
        <v>96</v>
      </c>
      <c r="E9" s="26" t="s">
        <v>97</v>
      </c>
      <c r="F9" s="26" t="s">
        <v>97</v>
      </c>
      <c r="G9" s="26" t="s">
        <v>97</v>
      </c>
      <c r="H9" s="26"/>
      <c r="I9" s="26"/>
      <c r="J9" s="26"/>
      <c r="K9" s="26"/>
      <c r="L9" s="26"/>
      <c r="M9" s="26"/>
      <c r="N9" s="26"/>
      <c r="O9" s="26"/>
      <c r="P9" s="26"/>
      <c r="Q9" s="26"/>
      <c r="R9" s="26"/>
      <c r="S9" s="26"/>
      <c r="T9" s="26"/>
      <c r="U9" s="26"/>
      <c r="V9" s="26"/>
      <c r="W9" s="26"/>
      <c r="X9" s="26"/>
      <c r="Y9" s="26"/>
      <c r="Z9" s="26"/>
    </row>
    <row r="10">
      <c r="A10" s="26" t="s">
        <v>98</v>
      </c>
      <c r="B10" s="47">
        <f>B7*B3</f>
        <v>225</v>
      </c>
      <c r="C10" s="47">
        <f>C7*B3</f>
        <v>150</v>
      </c>
      <c r="D10" s="47">
        <f>D7*B3</f>
        <v>562.5</v>
      </c>
      <c r="E10" s="47">
        <f>E7*B4</f>
        <v>4125</v>
      </c>
      <c r="F10" s="47">
        <f>F7*B4</f>
        <v>2250</v>
      </c>
      <c r="G10" s="47">
        <f>G7*B4</f>
        <v>9375</v>
      </c>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20.88"/>
  </cols>
  <sheetData>
    <row r="1">
      <c r="A1" s="48" t="str">
        <f>HYPERLINK("http://fishcount.org.uk/studydatascreens2/2015/numbers-of-farmed-fish-B0-2015.php?countrysort=United%2BStates%2Bof%2BAmerica","Greyed sheet contents sourced from: fishcount.org.uk, 'Estimated numbers of individuals in annual aquaculture production (FAO) of fish species,' US, 2015")</f>
        <v>Greyed sheet contents sourced from: fishcount.org.uk, 'Estimated numbers of individuals in annual aquaculture production (FAO) of fish species,' US, 2015</v>
      </c>
    </row>
    <row r="2">
      <c r="A2" s="49" t="s">
        <v>99</v>
      </c>
      <c r="B2" s="49" t="s">
        <v>100</v>
      </c>
      <c r="C2" s="49" t="s">
        <v>101</v>
      </c>
      <c r="D2" s="49" t="s">
        <v>102</v>
      </c>
      <c r="E2" s="49" t="s">
        <v>103</v>
      </c>
      <c r="F2" s="49" t="s">
        <v>104</v>
      </c>
      <c r="G2" s="49"/>
      <c r="H2" s="49"/>
      <c r="I2" s="49"/>
      <c r="J2" s="49"/>
      <c r="K2" s="49"/>
      <c r="L2" s="49"/>
      <c r="M2" s="49"/>
    </row>
    <row r="3">
      <c r="A3" s="50"/>
      <c r="B3" s="50"/>
      <c r="C3" s="50"/>
      <c r="D3" s="50"/>
      <c r="E3" s="50"/>
      <c r="F3" s="50"/>
      <c r="G3" s="50"/>
      <c r="H3" s="50"/>
      <c r="I3" s="50"/>
      <c r="J3" s="50"/>
      <c r="K3" s="50"/>
      <c r="L3" s="50"/>
      <c r="M3" s="50"/>
    </row>
    <row r="4">
      <c r="A4" s="51" t="s">
        <v>105</v>
      </c>
      <c r="B4" s="52">
        <v>143992.0</v>
      </c>
      <c r="C4" s="49" t="s">
        <v>106</v>
      </c>
      <c r="D4" s="51">
        <v>45.0</v>
      </c>
      <c r="E4" s="53"/>
      <c r="F4" s="49" t="s">
        <v>107</v>
      </c>
      <c r="G4" s="49"/>
      <c r="H4" s="49"/>
      <c r="I4" s="49"/>
      <c r="J4" s="49"/>
      <c r="K4" s="49"/>
      <c r="L4" s="49"/>
      <c r="M4" s="49"/>
    </row>
    <row r="5">
      <c r="A5" s="50"/>
      <c r="B5" s="50"/>
      <c r="C5" s="50"/>
      <c r="D5" s="50"/>
      <c r="E5" s="50"/>
      <c r="F5" s="50"/>
      <c r="G5" s="50"/>
      <c r="H5" s="50"/>
      <c r="I5" s="50"/>
      <c r="J5" s="50"/>
      <c r="K5" s="50"/>
      <c r="L5" s="50"/>
      <c r="M5" s="50"/>
    </row>
    <row r="6">
      <c r="A6" s="51" t="s">
        <v>108</v>
      </c>
      <c r="B6" s="52">
        <v>20799.0</v>
      </c>
      <c r="C6" s="49" t="s">
        <v>109</v>
      </c>
      <c r="D6" s="51">
        <v>155.0</v>
      </c>
      <c r="E6" s="53"/>
      <c r="F6" s="49" t="s">
        <v>110</v>
      </c>
      <c r="G6" s="49"/>
      <c r="H6" s="49"/>
      <c r="I6" s="49"/>
      <c r="J6" s="49"/>
      <c r="K6" s="49"/>
      <c r="L6" s="49"/>
      <c r="M6" s="49"/>
    </row>
    <row r="7">
      <c r="A7" s="50"/>
      <c r="B7" s="50"/>
      <c r="C7" s="50"/>
      <c r="D7" s="50"/>
      <c r="E7" s="50"/>
      <c r="F7" s="50"/>
      <c r="G7" s="50"/>
      <c r="H7" s="50"/>
      <c r="I7" s="50"/>
      <c r="J7" s="50"/>
      <c r="K7" s="50"/>
      <c r="L7" s="50"/>
      <c r="M7" s="50"/>
    </row>
    <row r="8">
      <c r="A8" s="51" t="s">
        <v>111</v>
      </c>
      <c r="B8" s="52">
        <v>18719.0</v>
      </c>
      <c r="C8" s="49" t="s">
        <v>112</v>
      </c>
      <c r="D8" s="51">
        <v>21.0</v>
      </c>
      <c r="E8" s="53"/>
      <c r="F8" s="49" t="s">
        <v>113</v>
      </c>
      <c r="G8" s="49"/>
      <c r="H8" s="49"/>
      <c r="I8" s="49"/>
      <c r="J8" s="49"/>
      <c r="K8" s="49"/>
      <c r="L8" s="49"/>
      <c r="M8" s="49"/>
    </row>
    <row r="9">
      <c r="A9" s="50"/>
      <c r="B9" s="50"/>
      <c r="C9" s="50"/>
      <c r="D9" s="50"/>
      <c r="E9" s="50"/>
      <c r="F9" s="50"/>
      <c r="G9" s="50"/>
      <c r="H9" s="50"/>
      <c r="I9" s="50"/>
      <c r="J9" s="50"/>
      <c r="K9" s="50"/>
      <c r="L9" s="50"/>
      <c r="M9" s="50"/>
    </row>
    <row r="10">
      <c r="A10" s="51" t="s">
        <v>114</v>
      </c>
      <c r="B10" s="52">
        <v>8618.0</v>
      </c>
      <c r="C10" s="49" t="s">
        <v>115</v>
      </c>
      <c r="D10" s="51">
        <v>215.0</v>
      </c>
      <c r="E10" s="53"/>
      <c r="F10" s="49" t="s">
        <v>116</v>
      </c>
      <c r="G10" s="49"/>
      <c r="H10" s="49"/>
      <c r="I10" s="49"/>
      <c r="J10" s="49"/>
      <c r="K10" s="49"/>
      <c r="L10" s="49"/>
      <c r="M10" s="49"/>
    </row>
    <row r="11">
      <c r="A11" s="50"/>
      <c r="B11" s="50"/>
      <c r="C11" s="50"/>
      <c r="D11" s="50"/>
      <c r="E11" s="50"/>
      <c r="F11" s="50"/>
      <c r="G11" s="50"/>
      <c r="H11" s="50"/>
      <c r="I11" s="50"/>
      <c r="J11" s="50"/>
      <c r="K11" s="50"/>
      <c r="L11" s="50"/>
      <c r="M11" s="50"/>
    </row>
    <row r="12">
      <c r="A12" s="51" t="s">
        <v>117</v>
      </c>
      <c r="B12" s="52">
        <v>3679.0</v>
      </c>
      <c r="C12" s="49">
        <v>816.0</v>
      </c>
      <c r="D12" s="51">
        <v>205.0</v>
      </c>
      <c r="E12" s="53"/>
      <c r="F12" s="49">
        <v>5.0</v>
      </c>
      <c r="G12" s="49"/>
      <c r="H12" s="49"/>
      <c r="I12" s="49"/>
      <c r="J12" s="49"/>
      <c r="K12" s="49"/>
      <c r="L12" s="49"/>
      <c r="M12" s="49"/>
    </row>
    <row r="13">
      <c r="A13" s="50"/>
      <c r="B13" s="50"/>
      <c r="C13" s="50"/>
      <c r="D13" s="50"/>
      <c r="E13" s="50"/>
      <c r="F13" s="50"/>
      <c r="G13" s="50"/>
      <c r="H13" s="50"/>
      <c r="I13" s="50"/>
      <c r="J13" s="50"/>
      <c r="K13" s="50"/>
      <c r="L13" s="50"/>
      <c r="M13" s="50"/>
    </row>
    <row r="14">
      <c r="A14" s="51" t="s">
        <v>118</v>
      </c>
      <c r="B14" s="52">
        <v>1500.0</v>
      </c>
      <c r="C14" s="52">
        <v>1000.0</v>
      </c>
      <c r="D14" s="51">
        <v>156.0</v>
      </c>
      <c r="E14" s="53"/>
      <c r="F14" s="49">
        <v>2.0</v>
      </c>
      <c r="G14" s="49"/>
      <c r="H14" s="49"/>
      <c r="I14" s="49"/>
      <c r="J14" s="49"/>
      <c r="K14" s="49"/>
      <c r="L14" s="49"/>
      <c r="M14" s="49"/>
    </row>
    <row r="15">
      <c r="A15" s="50"/>
      <c r="B15" s="50"/>
      <c r="C15" s="50"/>
      <c r="D15" s="50"/>
      <c r="E15" s="50"/>
      <c r="F15" s="50"/>
      <c r="G15" s="50"/>
      <c r="H15" s="50"/>
      <c r="I15" s="50"/>
      <c r="J15" s="50"/>
      <c r="K15" s="50"/>
      <c r="L15" s="50"/>
      <c r="M15" s="50"/>
    </row>
    <row r="16">
      <c r="A16" s="51" t="s">
        <v>119</v>
      </c>
      <c r="B16" s="49">
        <v>947.0</v>
      </c>
      <c r="C16" s="53"/>
      <c r="D16" s="53"/>
      <c r="E16" s="49" t="s">
        <v>120</v>
      </c>
      <c r="F16" s="49" t="s">
        <v>121</v>
      </c>
      <c r="G16" s="49"/>
      <c r="H16" s="49"/>
      <c r="I16" s="49"/>
      <c r="J16" s="49"/>
      <c r="K16" s="49"/>
      <c r="L16" s="49"/>
      <c r="M16" s="49"/>
    </row>
    <row r="17">
      <c r="A17" s="50"/>
      <c r="B17" s="50"/>
      <c r="C17" s="50"/>
      <c r="D17" s="50"/>
      <c r="E17" s="50"/>
      <c r="F17" s="50"/>
      <c r="G17" s="50"/>
      <c r="H17" s="50"/>
      <c r="I17" s="50"/>
      <c r="J17" s="50"/>
      <c r="K17" s="50"/>
      <c r="L17" s="50"/>
      <c r="M17" s="50"/>
    </row>
    <row r="18">
      <c r="A18" s="51" t="s">
        <v>122</v>
      </c>
      <c r="B18" s="49">
        <v>709.0</v>
      </c>
      <c r="C18" s="53"/>
      <c r="D18" s="53"/>
      <c r="E18" s="49" t="s">
        <v>120</v>
      </c>
      <c r="F18" s="49" t="s">
        <v>123</v>
      </c>
      <c r="G18" s="49"/>
      <c r="H18" s="49"/>
      <c r="I18" s="49"/>
      <c r="J18" s="49"/>
      <c r="K18" s="49"/>
      <c r="L18" s="49"/>
      <c r="M18" s="49"/>
    </row>
    <row r="19">
      <c r="A19" s="50"/>
      <c r="B19" s="50"/>
      <c r="C19" s="50"/>
      <c r="D19" s="50"/>
      <c r="E19" s="50"/>
      <c r="F19" s="50"/>
      <c r="G19" s="50"/>
      <c r="H19" s="50"/>
      <c r="I19" s="50"/>
      <c r="J19" s="50"/>
      <c r="K19" s="50"/>
      <c r="L19" s="50"/>
      <c r="M19" s="50"/>
    </row>
    <row r="20">
      <c r="A20" s="51" t="s">
        <v>124</v>
      </c>
      <c r="B20" s="49">
        <v>600.0</v>
      </c>
      <c r="C20" s="53"/>
      <c r="D20" s="53"/>
      <c r="E20" s="49" t="s">
        <v>120</v>
      </c>
      <c r="F20" s="49" t="s">
        <v>123</v>
      </c>
      <c r="G20" s="49"/>
      <c r="H20" s="49"/>
      <c r="I20" s="49"/>
      <c r="J20" s="49"/>
      <c r="K20" s="49"/>
      <c r="L20" s="49"/>
      <c r="M20" s="49"/>
    </row>
    <row r="21">
      <c r="A21" s="50"/>
      <c r="B21" s="50"/>
      <c r="C21" s="50"/>
      <c r="D21" s="50"/>
      <c r="E21" s="50"/>
      <c r="F21" s="50"/>
      <c r="G21" s="50"/>
      <c r="H21" s="50"/>
      <c r="I21" s="50"/>
      <c r="J21" s="50"/>
      <c r="K21" s="50"/>
      <c r="L21" s="50"/>
      <c r="M21" s="50"/>
    </row>
    <row r="22">
      <c r="A22" s="51" t="s">
        <v>125</v>
      </c>
      <c r="B22" s="49">
        <v>461.0</v>
      </c>
      <c r="C22" s="53"/>
      <c r="D22" s="53"/>
      <c r="E22" s="49" t="s">
        <v>120</v>
      </c>
      <c r="F22" s="49" t="s">
        <v>126</v>
      </c>
      <c r="G22" s="49"/>
      <c r="H22" s="49"/>
      <c r="I22" s="49"/>
      <c r="J22" s="49"/>
      <c r="K22" s="49"/>
      <c r="L22" s="49"/>
      <c r="M22" s="49"/>
    </row>
    <row r="23">
      <c r="A23" s="50"/>
      <c r="B23" s="50"/>
      <c r="C23" s="50"/>
      <c r="D23" s="50"/>
      <c r="E23" s="50"/>
      <c r="F23" s="50"/>
      <c r="G23" s="50"/>
      <c r="H23" s="50"/>
      <c r="I23" s="50"/>
      <c r="J23" s="50"/>
      <c r="K23" s="50"/>
      <c r="L23" s="50"/>
      <c r="M23" s="50"/>
    </row>
    <row r="24">
      <c r="A24" s="51" t="s">
        <v>127</v>
      </c>
      <c r="B24" s="49">
        <v>400.0</v>
      </c>
      <c r="C24" s="53"/>
      <c r="D24" s="53"/>
      <c r="E24" s="49" t="s">
        <v>120</v>
      </c>
      <c r="F24" s="49" t="s">
        <v>126</v>
      </c>
      <c r="G24" s="49"/>
      <c r="H24" s="49"/>
      <c r="I24" s="49"/>
      <c r="J24" s="49"/>
      <c r="K24" s="49"/>
      <c r="L24" s="49"/>
      <c r="M24" s="49"/>
    </row>
    <row r="25">
      <c r="A25" s="50"/>
      <c r="B25" s="50"/>
      <c r="C25" s="50"/>
      <c r="D25" s="50"/>
      <c r="E25" s="50"/>
      <c r="F25" s="50"/>
      <c r="G25" s="50"/>
      <c r="H25" s="50"/>
      <c r="I25" s="50"/>
      <c r="J25" s="50"/>
      <c r="K25" s="50"/>
      <c r="L25" s="50"/>
      <c r="M25" s="50"/>
    </row>
    <row r="26">
      <c r="A26" s="51" t="s">
        <v>128</v>
      </c>
      <c r="B26" s="49">
        <v>400.0</v>
      </c>
      <c r="C26" s="49" t="s">
        <v>129</v>
      </c>
      <c r="D26" s="51">
        <v>25.0</v>
      </c>
      <c r="E26" s="53"/>
      <c r="F26" s="49" t="s">
        <v>126</v>
      </c>
      <c r="G26" s="49"/>
      <c r="H26" s="49"/>
      <c r="I26" s="49"/>
      <c r="J26" s="49"/>
      <c r="K26" s="49"/>
      <c r="L26" s="49"/>
      <c r="M26" s="49"/>
    </row>
    <row r="27">
      <c r="A27" s="50"/>
      <c r="B27" s="50"/>
      <c r="C27" s="50"/>
      <c r="D27" s="50"/>
      <c r="E27" s="50"/>
      <c r="F27" s="50"/>
      <c r="G27" s="50"/>
      <c r="H27" s="50"/>
      <c r="I27" s="50"/>
      <c r="J27" s="50"/>
      <c r="K27" s="50"/>
      <c r="L27" s="50"/>
      <c r="M27" s="50"/>
    </row>
    <row r="28">
      <c r="A28" s="51" t="s">
        <v>130</v>
      </c>
      <c r="B28" s="49">
        <v>100.0</v>
      </c>
      <c r="C28" s="49">
        <v>227.0</v>
      </c>
      <c r="D28" s="51">
        <v>7.0</v>
      </c>
      <c r="E28" s="53"/>
      <c r="F28" s="49" t="s">
        <v>131</v>
      </c>
      <c r="G28" s="49"/>
      <c r="H28" s="49"/>
      <c r="I28" s="49"/>
      <c r="J28" s="49"/>
      <c r="K28" s="49"/>
      <c r="L28" s="49"/>
      <c r="M28" s="49"/>
    </row>
    <row r="29">
      <c r="A29" s="50"/>
      <c r="B29" s="50"/>
      <c r="C29" s="50"/>
      <c r="D29" s="50"/>
      <c r="E29" s="50"/>
      <c r="F29" s="50"/>
      <c r="G29" s="50"/>
      <c r="H29" s="50"/>
      <c r="I29" s="50"/>
      <c r="J29" s="50"/>
      <c r="K29" s="50"/>
      <c r="L29" s="50"/>
      <c r="M29" s="50"/>
    </row>
    <row r="30">
      <c r="A30" s="53"/>
      <c r="B30" s="53"/>
      <c r="C30" s="53"/>
      <c r="D30" s="53"/>
      <c r="E30" s="53"/>
      <c r="F30" s="53"/>
      <c r="G30" s="53"/>
      <c r="H30" s="53"/>
      <c r="I30" s="53"/>
      <c r="J30" s="53"/>
      <c r="K30" s="53"/>
      <c r="L30" s="53"/>
      <c r="M30" s="53"/>
    </row>
    <row r="31">
      <c r="A31" s="50"/>
      <c r="B31" s="50"/>
      <c r="C31" s="50"/>
      <c r="D31" s="50"/>
      <c r="E31" s="50"/>
      <c r="F31" s="50"/>
      <c r="G31" s="50"/>
      <c r="H31" s="50"/>
      <c r="I31" s="50"/>
      <c r="J31" s="50"/>
      <c r="K31" s="50"/>
      <c r="L31" s="50"/>
      <c r="M31" s="50"/>
    </row>
    <row r="32">
      <c r="A32" s="54" t="s">
        <v>132</v>
      </c>
      <c r="B32" s="53"/>
      <c r="C32" s="53"/>
      <c r="D32" s="53"/>
      <c r="E32" s="53"/>
      <c r="F32" s="53"/>
      <c r="G32" s="53"/>
      <c r="H32" s="53"/>
      <c r="I32" s="53"/>
      <c r="J32" s="53"/>
      <c r="K32" s="53"/>
      <c r="L32" s="53"/>
      <c r="M32" s="53"/>
    </row>
    <row r="33">
      <c r="A33" s="50"/>
      <c r="B33" s="50"/>
      <c r="C33" s="50"/>
      <c r="D33" s="50"/>
      <c r="E33" s="50"/>
      <c r="F33" s="50"/>
      <c r="G33" s="50"/>
      <c r="H33" s="50"/>
      <c r="I33" s="50"/>
      <c r="J33" s="50"/>
      <c r="K33" s="50"/>
      <c r="L33" s="50"/>
      <c r="M33" s="50"/>
    </row>
    <row r="34">
      <c r="A34" s="53"/>
      <c r="B34" s="49" t="s">
        <v>100</v>
      </c>
      <c r="C34" s="53"/>
      <c r="D34" s="53"/>
      <c r="E34" s="53"/>
      <c r="F34" s="49" t="s">
        <v>133</v>
      </c>
      <c r="G34" s="49"/>
      <c r="H34" s="49"/>
      <c r="I34" s="49"/>
      <c r="J34" s="49"/>
      <c r="K34" s="49"/>
      <c r="L34" s="49"/>
      <c r="M34" s="49"/>
    </row>
    <row r="35">
      <c r="A35" s="50"/>
      <c r="B35" s="50"/>
      <c r="C35" s="50"/>
      <c r="D35" s="50"/>
      <c r="E35" s="50"/>
      <c r="F35" s="50"/>
      <c r="G35" s="50"/>
      <c r="H35" s="50"/>
      <c r="I35" s="50"/>
      <c r="J35" s="50"/>
      <c r="K35" s="50"/>
      <c r="L35" s="50"/>
      <c r="M35" s="50"/>
    </row>
    <row r="36">
      <c r="A36" s="49" t="s">
        <v>134</v>
      </c>
      <c r="B36" s="52">
        <v>189189.0</v>
      </c>
      <c r="C36" s="53"/>
      <c r="D36" s="53"/>
      <c r="E36" s="53"/>
      <c r="F36" s="49" t="s">
        <v>135</v>
      </c>
      <c r="G36" s="49"/>
      <c r="H36" s="49"/>
      <c r="I36" s="49"/>
      <c r="J36" s="49"/>
      <c r="K36" s="49"/>
      <c r="L36" s="49"/>
      <c r="M36" s="49"/>
    </row>
    <row r="37">
      <c r="A37" s="50"/>
      <c r="B37" s="50"/>
      <c r="C37" s="50"/>
      <c r="D37" s="50"/>
      <c r="E37" s="50"/>
      <c r="F37" s="50"/>
      <c r="G37" s="50"/>
      <c r="H37" s="50"/>
      <c r="I37" s="50"/>
      <c r="J37" s="50"/>
      <c r="K37" s="50"/>
      <c r="L37" s="50"/>
      <c r="M37" s="50"/>
    </row>
    <row r="38">
      <c r="A38" s="49" t="s">
        <v>136</v>
      </c>
      <c r="B38" s="52">
        <v>8618.0</v>
      </c>
      <c r="C38" s="53"/>
      <c r="D38" s="53"/>
      <c r="E38" s="53"/>
      <c r="F38" s="49" t="s">
        <v>116</v>
      </c>
      <c r="G38" s="49"/>
      <c r="H38" s="49"/>
      <c r="I38" s="49"/>
      <c r="J38" s="49"/>
      <c r="K38" s="49"/>
      <c r="L38" s="49"/>
      <c r="M38" s="49"/>
    </row>
    <row r="39">
      <c r="A39" s="50"/>
      <c r="B39" s="50"/>
      <c r="C39" s="50"/>
      <c r="D39" s="50"/>
      <c r="E39" s="50"/>
      <c r="F39" s="50"/>
      <c r="G39" s="50"/>
      <c r="H39" s="50"/>
      <c r="I39" s="50"/>
      <c r="J39" s="50"/>
      <c r="K39" s="50"/>
      <c r="L39" s="50"/>
      <c r="M39" s="50"/>
    </row>
    <row r="40">
      <c r="A40" s="54" t="s">
        <v>137</v>
      </c>
      <c r="B40" s="52">
        <v>197807.0</v>
      </c>
      <c r="C40" s="53"/>
      <c r="D40" s="53"/>
      <c r="E40" s="53"/>
      <c r="F40" s="49" t="s">
        <v>138</v>
      </c>
      <c r="G40" s="49"/>
      <c r="H40" s="49"/>
      <c r="I40" s="49"/>
      <c r="J40" s="49"/>
      <c r="K40" s="49"/>
      <c r="L40" s="49"/>
      <c r="M40" s="49"/>
    </row>
    <row r="41">
      <c r="A41" s="50"/>
      <c r="B41" s="50"/>
      <c r="C41" s="50"/>
      <c r="D41" s="50"/>
      <c r="E41" s="50"/>
      <c r="F41" s="50"/>
      <c r="G41" s="50"/>
      <c r="H41" s="50"/>
      <c r="I41" s="50"/>
      <c r="J41" s="50"/>
      <c r="K41" s="50"/>
      <c r="L41" s="50"/>
      <c r="M41" s="50"/>
    </row>
    <row r="42">
      <c r="A42" s="54" t="s">
        <v>139</v>
      </c>
      <c r="B42" s="52">
        <v>3117.0</v>
      </c>
      <c r="C42" s="53"/>
      <c r="D42" s="53"/>
      <c r="E42" s="53"/>
      <c r="F42" s="49" t="s">
        <v>140</v>
      </c>
      <c r="G42" s="49"/>
      <c r="H42" s="49"/>
      <c r="I42" s="49"/>
      <c r="J42" s="49"/>
      <c r="K42" s="49"/>
      <c r="L42" s="49"/>
      <c r="M42" s="49"/>
    </row>
    <row r="43">
      <c r="A43" s="50"/>
      <c r="B43" s="50"/>
      <c r="C43" s="50"/>
      <c r="D43" s="50"/>
      <c r="E43" s="50"/>
      <c r="F43" s="50"/>
      <c r="G43" s="50"/>
      <c r="H43" s="50"/>
      <c r="I43" s="50"/>
      <c r="J43" s="50"/>
      <c r="K43" s="50"/>
      <c r="L43" s="50"/>
      <c r="M43" s="50"/>
    </row>
    <row r="44">
      <c r="A44" s="54" t="s">
        <v>141</v>
      </c>
      <c r="B44" s="52">
        <v>200924.0</v>
      </c>
      <c r="C44" s="53"/>
      <c r="D44" s="53"/>
      <c r="E44" s="53"/>
      <c r="F44" s="54" t="s">
        <v>142</v>
      </c>
      <c r="G44" s="54"/>
      <c r="H44" s="54"/>
      <c r="I44" s="54"/>
      <c r="J44" s="54"/>
      <c r="K44" s="54"/>
      <c r="L44" s="54"/>
      <c r="M44" s="54"/>
    </row>
    <row r="45">
      <c r="A45" s="50"/>
      <c r="B45" s="50"/>
      <c r="C45" s="50"/>
      <c r="D45" s="50"/>
      <c r="E45" s="50"/>
      <c r="F45" s="50"/>
      <c r="G45" s="50"/>
      <c r="H45" s="50"/>
      <c r="I45" s="50"/>
      <c r="J45" s="50"/>
      <c r="K45" s="50"/>
      <c r="L45" s="50"/>
      <c r="M45" s="50"/>
    </row>
    <row r="46">
      <c r="A46" s="49" t="s">
        <v>143</v>
      </c>
      <c r="B46" s="52">
        <v>425973.0</v>
      </c>
      <c r="C46" s="50"/>
      <c r="D46" s="50"/>
      <c r="E46" s="50"/>
      <c r="F46" s="50"/>
      <c r="G46" s="50"/>
      <c r="H46" s="50"/>
      <c r="I46" s="50"/>
      <c r="J46" s="50"/>
      <c r="K46" s="50"/>
      <c r="L46" s="50"/>
      <c r="M46" s="50"/>
    </row>
    <row r="47">
      <c r="A47" s="55" t="str">
        <f>HYPERLINK("https://www.getguesstimate.com/models/9916?token=k1KvmkB0E_IvYTut4bKxfMd9RHHcsuZfEGsZcCwp6MWyS5cfgVKppf9jOrICUlmisg7TzGqGvGn5jeqmeYljjQ","Greyed sheet contents sourced from: Animal Charity Evaluators,'Guesstimate Model of U.S. Per Capita Consumption of Farmed Finfish'")</f>
        <v>Greyed sheet contents sourced from: Animal Charity Evaluators,'Guesstimate Model of U.S. Per Capita Consumption of Farmed Finfish'</v>
      </c>
    </row>
    <row r="48">
      <c r="A48" s="55" t="str">
        <f>HYPERLINK("https://docs.getguesstimate.com/theory/monte_carlo_simulations.html","We are averaging across multiple page loads because the Monte Carlo estimation techniques Guesstimate uses to produce its distributions use a small sample size so as to load pages quickly. See more in their documentation.")</f>
        <v>We are averaging across multiple page loads because the Monte Carlo estimation techniques Guesstimate uses to produce its distributions use a small sample size so as to load pages quickly. See more in their documentation.</v>
      </c>
    </row>
    <row r="49">
      <c r="A49" s="56"/>
      <c r="B49" s="57" t="s">
        <v>144</v>
      </c>
      <c r="C49" s="57" t="s">
        <v>145</v>
      </c>
      <c r="D49" s="57" t="s">
        <v>146</v>
      </c>
      <c r="E49" s="57" t="s">
        <v>147</v>
      </c>
      <c r="F49" s="57" t="s">
        <v>148</v>
      </c>
      <c r="G49" s="57" t="s">
        <v>149</v>
      </c>
      <c r="H49" s="57" t="s">
        <v>150</v>
      </c>
      <c r="I49" s="57" t="s">
        <v>151</v>
      </c>
      <c r="J49" s="57" t="s">
        <v>152</v>
      </c>
      <c r="K49" s="57" t="s">
        <v>153</v>
      </c>
      <c r="L49" s="57" t="s">
        <v>154</v>
      </c>
      <c r="M49" s="57" t="s">
        <v>155</v>
      </c>
    </row>
    <row r="50">
      <c r="A50" s="56" t="s">
        <v>156</v>
      </c>
      <c r="B50" s="58">
        <v>0.21</v>
      </c>
      <c r="C50" s="58">
        <v>0.29</v>
      </c>
      <c r="D50" s="58">
        <v>0.4</v>
      </c>
      <c r="E50" s="58">
        <v>18.0</v>
      </c>
      <c r="F50" s="58">
        <v>27.0</v>
      </c>
      <c r="G50" s="58">
        <v>36.0</v>
      </c>
      <c r="H50" s="58">
        <v>0.39</v>
      </c>
      <c r="I50" s="58">
        <v>0.65</v>
      </c>
      <c r="J50" s="58">
        <v>0.99</v>
      </c>
      <c r="K50" s="58">
        <v>0.42</v>
      </c>
      <c r="L50" s="58">
        <v>0.71</v>
      </c>
      <c r="M50" s="58">
        <v>1.1</v>
      </c>
    </row>
    <row r="51">
      <c r="A51" s="56" t="s">
        <v>157</v>
      </c>
      <c r="B51" s="58">
        <v>0.21</v>
      </c>
      <c r="C51" s="58">
        <v>0.29</v>
      </c>
      <c r="D51" s="58">
        <v>0.39</v>
      </c>
      <c r="E51" s="58">
        <v>18.0</v>
      </c>
      <c r="F51" s="58">
        <v>27.0</v>
      </c>
      <c r="G51" s="58">
        <v>36.0</v>
      </c>
      <c r="H51" s="58">
        <v>0.39</v>
      </c>
      <c r="I51" s="58">
        <v>0.65</v>
      </c>
      <c r="J51" s="58">
        <v>0.98</v>
      </c>
      <c r="K51" s="58">
        <v>0.41</v>
      </c>
      <c r="L51" s="58">
        <v>0.7</v>
      </c>
      <c r="M51" s="58">
        <v>1.1</v>
      </c>
    </row>
    <row r="52">
      <c r="A52" s="56" t="s">
        <v>158</v>
      </c>
      <c r="B52" s="58">
        <v>0.21</v>
      </c>
      <c r="C52" s="58">
        <v>0.29</v>
      </c>
      <c r="D52" s="58">
        <v>0.39</v>
      </c>
      <c r="E52" s="58">
        <v>18.0</v>
      </c>
      <c r="F52" s="58">
        <v>27.0</v>
      </c>
      <c r="G52" s="58">
        <v>36.0</v>
      </c>
      <c r="H52" s="58">
        <v>0.38</v>
      </c>
      <c r="I52" s="58">
        <v>0.65</v>
      </c>
      <c r="J52" s="58">
        <v>0.97</v>
      </c>
      <c r="K52" s="58">
        <v>0.41</v>
      </c>
      <c r="L52" s="58">
        <v>0.7</v>
      </c>
      <c r="M52" s="58">
        <v>1.1</v>
      </c>
    </row>
    <row r="53">
      <c r="A53" s="56"/>
      <c r="B53" s="56"/>
      <c r="C53" s="56"/>
      <c r="D53" s="56"/>
      <c r="E53" s="56"/>
      <c r="F53" s="56"/>
      <c r="G53" s="56"/>
      <c r="H53" s="56"/>
      <c r="I53" s="56"/>
      <c r="J53" s="56"/>
      <c r="K53" s="56"/>
      <c r="L53" s="56"/>
      <c r="M53" s="56"/>
    </row>
    <row r="54">
      <c r="A54" s="56" t="s">
        <v>159</v>
      </c>
      <c r="B54" s="58">
        <v>1.9</v>
      </c>
      <c r="C54" s="58">
        <v>3.2</v>
      </c>
      <c r="D54" s="58">
        <v>5.3</v>
      </c>
      <c r="E54" s="58">
        <v>5.9</v>
      </c>
      <c r="F54" s="58">
        <v>8.0</v>
      </c>
      <c r="G54" s="58">
        <v>9.9</v>
      </c>
      <c r="H54" s="58">
        <v>1.2</v>
      </c>
      <c r="I54" s="58">
        <v>2.1</v>
      </c>
      <c r="J54" s="58">
        <v>3.7</v>
      </c>
      <c r="K54" s="58">
        <v>1.1</v>
      </c>
      <c r="L54" s="58">
        <v>2.2</v>
      </c>
      <c r="M54" s="58">
        <v>3.9</v>
      </c>
    </row>
    <row r="55">
      <c r="A55" s="56" t="s">
        <v>160</v>
      </c>
      <c r="B55" s="58">
        <v>1.9</v>
      </c>
      <c r="C55" s="58">
        <v>3.2</v>
      </c>
      <c r="D55" s="58">
        <v>5.2</v>
      </c>
      <c r="E55" s="58">
        <v>5.9</v>
      </c>
      <c r="F55" s="58">
        <v>8.0</v>
      </c>
      <c r="G55" s="58">
        <v>10.0</v>
      </c>
      <c r="H55" s="58">
        <v>1.1</v>
      </c>
      <c r="I55" s="58">
        <v>2.1</v>
      </c>
      <c r="J55" s="58">
        <v>3.6</v>
      </c>
      <c r="K55" s="58">
        <v>1.2</v>
      </c>
      <c r="L55" s="58">
        <v>2.2</v>
      </c>
      <c r="M55" s="58">
        <v>3.8</v>
      </c>
    </row>
    <row r="56">
      <c r="A56" s="56" t="s">
        <v>161</v>
      </c>
      <c r="B56" s="58">
        <v>1.8</v>
      </c>
      <c r="C56" s="58">
        <v>3.2</v>
      </c>
      <c r="D56" s="58">
        <v>5.1</v>
      </c>
      <c r="E56" s="58">
        <v>5.9</v>
      </c>
      <c r="F56" s="58">
        <v>8.0</v>
      </c>
      <c r="G56" s="58">
        <v>10.0</v>
      </c>
      <c r="H56" s="58">
        <v>1.1</v>
      </c>
      <c r="I56" s="58">
        <v>2.1</v>
      </c>
      <c r="J56" s="58">
        <v>3.6</v>
      </c>
      <c r="K56" s="58">
        <v>1.1</v>
      </c>
      <c r="L56" s="58">
        <v>2.2</v>
      </c>
      <c r="M56" s="58">
        <v>3.7</v>
      </c>
    </row>
    <row r="57">
      <c r="A57" s="56"/>
      <c r="B57" s="56"/>
      <c r="C57" s="56"/>
      <c r="D57" s="56"/>
      <c r="E57" s="56"/>
      <c r="F57" s="56"/>
      <c r="G57" s="56"/>
      <c r="H57" s="56"/>
      <c r="I57" s="56"/>
      <c r="J57" s="56"/>
      <c r="K57" s="56"/>
      <c r="L57" s="56"/>
      <c r="M57" s="56"/>
    </row>
    <row r="58">
      <c r="A58" s="56" t="s">
        <v>162</v>
      </c>
      <c r="B58" s="58">
        <v>0.71</v>
      </c>
      <c r="C58" s="58">
        <v>1.2</v>
      </c>
      <c r="D58" s="58">
        <v>2.1</v>
      </c>
      <c r="E58" s="58">
        <v>8.0</v>
      </c>
      <c r="F58" s="58">
        <v>9.3</v>
      </c>
      <c r="G58" s="58">
        <v>10.0</v>
      </c>
      <c r="H58" s="58">
        <v>0.54</v>
      </c>
      <c r="I58" s="58">
        <v>0.92</v>
      </c>
      <c r="J58" s="58">
        <v>1.6</v>
      </c>
      <c r="K58" s="58">
        <v>0.56</v>
      </c>
      <c r="L58" s="58">
        <v>0.96</v>
      </c>
      <c r="M58" s="58">
        <v>1.7</v>
      </c>
    </row>
    <row r="59">
      <c r="A59" s="56" t="s">
        <v>163</v>
      </c>
      <c r="B59" s="58">
        <v>0.72</v>
      </c>
      <c r="C59" s="58">
        <v>1.2</v>
      </c>
      <c r="D59" s="58">
        <v>2.1</v>
      </c>
      <c r="E59" s="58">
        <v>9.0</v>
      </c>
      <c r="F59" s="58">
        <v>9.2</v>
      </c>
      <c r="G59" s="58">
        <v>10.0</v>
      </c>
      <c r="H59" s="58">
        <v>0.54</v>
      </c>
      <c r="I59" s="58">
        <v>0.91</v>
      </c>
      <c r="J59" s="58">
        <v>1.6</v>
      </c>
      <c r="K59" s="58">
        <v>0.56</v>
      </c>
      <c r="L59" s="58">
        <v>0.95</v>
      </c>
      <c r="M59" s="58">
        <v>1.7</v>
      </c>
    </row>
    <row r="60">
      <c r="A60" s="56" t="s">
        <v>164</v>
      </c>
      <c r="B60" s="58">
        <v>0.72</v>
      </c>
      <c r="C60" s="58">
        <v>1.2</v>
      </c>
      <c r="D60" s="58">
        <v>2.1</v>
      </c>
      <c r="E60" s="58">
        <v>8.0</v>
      </c>
      <c r="F60" s="58">
        <v>9.2</v>
      </c>
      <c r="G60" s="58">
        <v>10.0</v>
      </c>
      <c r="H60" s="58">
        <v>0.54</v>
      </c>
      <c r="I60" s="58">
        <v>0.94</v>
      </c>
      <c r="J60" s="58">
        <v>1.7</v>
      </c>
      <c r="K60" s="58">
        <v>0.56</v>
      </c>
      <c r="L60" s="58">
        <v>0.98</v>
      </c>
      <c r="M60" s="58">
        <v>1.8</v>
      </c>
    </row>
    <row r="61">
      <c r="A61" s="56"/>
      <c r="B61" s="56"/>
      <c r="C61" s="56"/>
      <c r="D61" s="56"/>
      <c r="E61" s="56"/>
      <c r="F61" s="56"/>
      <c r="G61" s="56"/>
      <c r="H61" s="56"/>
      <c r="I61" s="56"/>
      <c r="J61" s="56"/>
      <c r="K61" s="56"/>
      <c r="L61" s="56"/>
      <c r="M61" s="56"/>
    </row>
    <row r="62">
      <c r="A62" s="56" t="s">
        <v>165</v>
      </c>
      <c r="B62" s="58">
        <v>0.47</v>
      </c>
      <c r="C62" s="58">
        <v>0.86</v>
      </c>
      <c r="D62" s="58">
        <v>1.5</v>
      </c>
      <c r="E62" s="58">
        <v>15.0</v>
      </c>
      <c r="F62" s="58">
        <v>21.0</v>
      </c>
      <c r="G62" s="58">
        <v>27.0</v>
      </c>
      <c r="H62" s="58">
        <v>0.73</v>
      </c>
      <c r="I62" s="58">
        <v>1.5</v>
      </c>
      <c r="J62" s="58">
        <v>2.7</v>
      </c>
      <c r="K62" s="58">
        <v>0.8</v>
      </c>
      <c r="L62" s="58">
        <v>1.8</v>
      </c>
      <c r="M62" s="58">
        <v>3.2</v>
      </c>
    </row>
    <row r="63">
      <c r="A63" s="56" t="s">
        <v>166</v>
      </c>
      <c r="B63" s="58">
        <v>0.48</v>
      </c>
      <c r="C63" s="58">
        <v>0.87</v>
      </c>
      <c r="D63" s="58">
        <v>1.5</v>
      </c>
      <c r="E63" s="58">
        <v>15.0</v>
      </c>
      <c r="F63" s="58">
        <v>21.0</v>
      </c>
      <c r="G63" s="58">
        <v>27.0</v>
      </c>
      <c r="H63" s="58">
        <v>0.74</v>
      </c>
      <c r="I63" s="58">
        <v>1.5</v>
      </c>
      <c r="J63" s="58">
        <v>2.7</v>
      </c>
      <c r="K63" s="58">
        <v>0.67</v>
      </c>
      <c r="L63" s="58">
        <v>1.2</v>
      </c>
      <c r="M63" s="58">
        <v>2.8</v>
      </c>
    </row>
    <row r="64">
      <c r="A64" s="56" t="s">
        <v>167</v>
      </c>
      <c r="B64" s="58">
        <v>0.47</v>
      </c>
      <c r="C64" s="58">
        <v>0.86</v>
      </c>
      <c r="D64" s="58">
        <v>1.5</v>
      </c>
      <c r="E64" s="58">
        <v>15.0</v>
      </c>
      <c r="F64" s="58">
        <v>21.0</v>
      </c>
      <c r="G64" s="58">
        <v>27.0</v>
      </c>
      <c r="H64" s="58">
        <v>0.76</v>
      </c>
      <c r="I64" s="58">
        <v>1.5</v>
      </c>
      <c r="J64" s="58">
        <v>2.7</v>
      </c>
      <c r="K64" s="58">
        <v>0.79</v>
      </c>
      <c r="L64" s="58">
        <v>1.6</v>
      </c>
      <c r="M64" s="58">
        <v>3.0</v>
      </c>
    </row>
    <row r="65">
      <c r="A65" s="56"/>
      <c r="B65" s="56"/>
      <c r="C65" s="56"/>
      <c r="D65" s="56"/>
      <c r="E65" s="56"/>
      <c r="F65" s="56"/>
      <c r="G65" s="56"/>
      <c r="H65" s="56"/>
      <c r="I65" s="56"/>
      <c r="J65" s="56"/>
      <c r="K65" s="56"/>
      <c r="L65" s="56"/>
      <c r="M65" s="56"/>
    </row>
    <row r="66">
      <c r="A66" s="56" t="s">
        <v>168</v>
      </c>
      <c r="B66" s="59">
        <f t="shared" ref="B66:M66" si="1">SUM(B50:B52)/3</f>
        <v>0.21</v>
      </c>
      <c r="C66" s="59">
        <f t="shared" si="1"/>
        <v>0.29</v>
      </c>
      <c r="D66" s="59">
        <f t="shared" si="1"/>
        <v>0.3933333333</v>
      </c>
      <c r="E66" s="59">
        <f t="shared" si="1"/>
        <v>18</v>
      </c>
      <c r="F66" s="59">
        <f t="shared" si="1"/>
        <v>27</v>
      </c>
      <c r="G66" s="59">
        <f t="shared" si="1"/>
        <v>36</v>
      </c>
      <c r="H66" s="59">
        <f t="shared" si="1"/>
        <v>0.3866666667</v>
      </c>
      <c r="I66" s="59">
        <f t="shared" si="1"/>
        <v>0.65</v>
      </c>
      <c r="J66" s="59">
        <f t="shared" si="1"/>
        <v>0.98</v>
      </c>
      <c r="K66" s="59">
        <f t="shared" si="1"/>
        <v>0.4133333333</v>
      </c>
      <c r="L66" s="59">
        <f t="shared" si="1"/>
        <v>0.7033333333</v>
      </c>
      <c r="M66" s="59">
        <f t="shared" si="1"/>
        <v>1.1</v>
      </c>
    </row>
    <row r="67">
      <c r="A67" s="56" t="s">
        <v>169</v>
      </c>
      <c r="B67" s="59">
        <f t="shared" ref="B67:M67" si="2">SUM(B54:B56)/3</f>
        <v>1.866666667</v>
      </c>
      <c r="C67" s="59">
        <f t="shared" si="2"/>
        <v>3.2</v>
      </c>
      <c r="D67" s="59">
        <f t="shared" si="2"/>
        <v>5.2</v>
      </c>
      <c r="E67" s="59">
        <f t="shared" si="2"/>
        <v>5.9</v>
      </c>
      <c r="F67" s="59">
        <f t="shared" si="2"/>
        <v>8</v>
      </c>
      <c r="G67" s="59">
        <f t="shared" si="2"/>
        <v>9.966666667</v>
      </c>
      <c r="H67" s="59">
        <f t="shared" si="2"/>
        <v>1.133333333</v>
      </c>
      <c r="I67" s="59">
        <f t="shared" si="2"/>
        <v>2.1</v>
      </c>
      <c r="J67" s="59">
        <f t="shared" si="2"/>
        <v>3.633333333</v>
      </c>
      <c r="K67" s="59">
        <f t="shared" si="2"/>
        <v>1.133333333</v>
      </c>
      <c r="L67" s="59">
        <f t="shared" si="2"/>
        <v>2.2</v>
      </c>
      <c r="M67" s="59">
        <f t="shared" si="2"/>
        <v>3.8</v>
      </c>
    </row>
    <row r="68">
      <c r="A68" s="56" t="s">
        <v>170</v>
      </c>
      <c r="B68" s="59">
        <f t="shared" ref="B68:M68" si="3">SUM(B58:B60)/3</f>
        <v>0.7166666667</v>
      </c>
      <c r="C68" s="59">
        <f t="shared" si="3"/>
        <v>1.2</v>
      </c>
      <c r="D68" s="59">
        <f t="shared" si="3"/>
        <v>2.1</v>
      </c>
      <c r="E68" s="59">
        <f t="shared" si="3"/>
        <v>8.333333333</v>
      </c>
      <c r="F68" s="59">
        <f t="shared" si="3"/>
        <v>9.233333333</v>
      </c>
      <c r="G68" s="59">
        <f t="shared" si="3"/>
        <v>10</v>
      </c>
      <c r="H68" s="59">
        <f t="shared" si="3"/>
        <v>0.54</v>
      </c>
      <c r="I68" s="59">
        <f t="shared" si="3"/>
        <v>0.9233333333</v>
      </c>
      <c r="J68" s="59">
        <f t="shared" si="3"/>
        <v>1.633333333</v>
      </c>
      <c r="K68" s="59">
        <f t="shared" si="3"/>
        <v>0.56</v>
      </c>
      <c r="L68" s="59">
        <f t="shared" si="3"/>
        <v>0.9633333333</v>
      </c>
      <c r="M68" s="59">
        <f t="shared" si="3"/>
        <v>1.733333333</v>
      </c>
    </row>
    <row r="69">
      <c r="A69" s="56" t="s">
        <v>171</v>
      </c>
      <c r="B69" s="59">
        <f t="shared" ref="B69:M69" si="4">SUM(B62:B64)/3</f>
        <v>0.4733333333</v>
      </c>
      <c r="C69" s="59">
        <f t="shared" si="4"/>
        <v>0.8633333333</v>
      </c>
      <c r="D69" s="59">
        <f t="shared" si="4"/>
        <v>1.5</v>
      </c>
      <c r="E69" s="59">
        <f t="shared" si="4"/>
        <v>15</v>
      </c>
      <c r="F69" s="59">
        <f t="shared" si="4"/>
        <v>21</v>
      </c>
      <c r="G69" s="59">
        <f t="shared" si="4"/>
        <v>27</v>
      </c>
      <c r="H69" s="59">
        <f t="shared" si="4"/>
        <v>0.7433333333</v>
      </c>
      <c r="I69" s="59">
        <f t="shared" si="4"/>
        <v>1.5</v>
      </c>
      <c r="J69" s="59">
        <f t="shared" si="4"/>
        <v>2.7</v>
      </c>
      <c r="K69" s="59">
        <f t="shared" si="4"/>
        <v>0.7533333333</v>
      </c>
      <c r="L69" s="59">
        <f t="shared" si="4"/>
        <v>1.533333333</v>
      </c>
      <c r="M69" s="59">
        <f t="shared" si="4"/>
        <v>3</v>
      </c>
    </row>
    <row r="71">
      <c r="A71" s="60" t="s">
        <v>172</v>
      </c>
    </row>
    <row r="72">
      <c r="A72" s="61" t="s">
        <v>173</v>
      </c>
    </row>
    <row r="73">
      <c r="A73" s="62" t="s">
        <v>174</v>
      </c>
      <c r="B73" s="63">
        <f>(238*1000000*((SUM(E66:E69)/4)/12)*((SUM(K66:K69)/4)/(SUM(H66:H69)/4)))</f>
        <v>238932709.1</v>
      </c>
    </row>
    <row r="74">
      <c r="A74" s="62" t="s">
        <v>175</v>
      </c>
      <c r="B74" s="63">
        <f>(((580+238)/2)*1000000*((SUM(F66:F69)/4)/12)*((SUM(I66:I69)/4)/(SUM(L66:L69)/4)))</f>
        <v>532510706.4</v>
      </c>
    </row>
    <row r="75">
      <c r="A75" s="62" t="s">
        <v>176</v>
      </c>
      <c r="B75" s="63">
        <f>(580*1000000*((SUM(G66:G69)/4)/12)*((SUM(J66:J69)/4)/(SUM(M66:M69)/4)))</f>
        <v>931054421.4</v>
      </c>
    </row>
  </sheetData>
  <mergeCells count="4">
    <mergeCell ref="A1:M1"/>
    <mergeCell ref="A47:M47"/>
    <mergeCell ref="A48:M48"/>
    <mergeCell ref="A70:M70"/>
  </mergeCells>
  <hyperlinks>
    <hyperlink r:id="rId1" ref="A4"/>
    <hyperlink r:id="rId2" ref="D4"/>
    <hyperlink r:id="rId3" ref="A6"/>
    <hyperlink r:id="rId4" ref="D6"/>
    <hyperlink r:id="rId5" ref="A8"/>
    <hyperlink r:id="rId6" ref="D8"/>
    <hyperlink r:id="rId7" ref="A10"/>
    <hyperlink r:id="rId8" ref="D10"/>
    <hyperlink r:id="rId9" ref="A12"/>
    <hyperlink r:id="rId10" ref="D12"/>
    <hyperlink r:id="rId11" ref="A14"/>
    <hyperlink r:id="rId12" ref="D14"/>
    <hyperlink r:id="rId13" ref="A16"/>
    <hyperlink r:id="rId14" ref="A18"/>
    <hyperlink r:id="rId15" ref="A20"/>
    <hyperlink r:id="rId16" ref="A22"/>
    <hyperlink r:id="rId17" ref="A24"/>
    <hyperlink r:id="rId18" ref="A26"/>
    <hyperlink r:id="rId19" ref="D26"/>
    <hyperlink r:id="rId20" ref="A28"/>
    <hyperlink r:id="rId21" ref="D28"/>
  </hyperlinks>
  <drawing r:id="rId22"/>
</worksheet>
</file>